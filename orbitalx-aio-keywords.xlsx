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O Keywords" sheetId="1" state="visible" r:id="rId3"/>
    <sheet name="Summary" sheetId="2" state="visible" r:id="rId4"/>
    <sheet name="Semrush Paste" sheetId="3" state="visible" r:id="rId5"/>
    <sheet name="How to use" sheetId="4" state="visible" r:id="rId6"/>
  </sheets>
  <definedNames>
    <definedName function="false" hidden="true" localSheetId="0" name="_xlnm._FilterDatabase" vbProcedure="false">'AIO Keywords'!$A$5:$K$162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Score = UK volume × 2 if an AI Overview shows × 1.5 if commercial intent. Keywords with no UK volume score 0 and are excluded.</t>
        </r>
      </text>
    </comment>
  </commentList>
</comments>
</file>

<file path=xl/sharedStrings.xml><?xml version="1.0" encoding="utf-8"?>
<sst xmlns="http://schemas.openxmlformats.org/spreadsheetml/2006/main" count="826" uniqueCount="279">
  <si>
    <t xml:space="preserve">OrbitalX: AI Overview tracking keywords (UK)</t>
  </si>
  <si>
    <t xml:space="preserve">157 candidates. Fill the yellow columns from Semrush (UK database). The sheet ranks them and flags the top 100 to track automatically.</t>
  </si>
  <si>
    <t xml:space="preserve">Example of the format (not real data): uk_volume 590 · uk_kd 42 · ai_overview Yes</t>
  </si>
  <si>
    <t xml:space="preserve">#</t>
  </si>
  <si>
    <t xml:space="preserve">Keyword</t>
  </si>
  <si>
    <t xml:space="preserve">Cluster</t>
  </si>
  <si>
    <t xml:space="preserve">Intent</t>
  </si>
  <si>
    <t xml:space="preserve">Target URL</t>
  </si>
  <si>
    <t xml:space="preserve">UK volume</t>
  </si>
  <si>
    <t xml:space="preserve">UK KD</t>
  </si>
  <si>
    <t xml:space="preserve">AI Overview in SERP?</t>
  </si>
  <si>
    <t xml:space="preserve">Score</t>
  </si>
  <si>
    <t xml:space="preserve">Rank</t>
  </si>
  <si>
    <t xml:space="preserve">Track?</t>
  </si>
  <si>
    <t xml:space="preserve">what is account based marketing</t>
  </si>
  <si>
    <t xml:space="preserve">ABM</t>
  </si>
  <si>
    <t xml:space="preserve">Informational</t>
  </si>
  <si>
    <t xml:space="preserve">/resources/b2b-account-based-marketing</t>
  </si>
  <si>
    <t xml:space="preserve">account based marketing</t>
  </si>
  <si>
    <t xml:space="preserve">abm marketing</t>
  </si>
  <si>
    <t xml:space="preserve">account based marketing strategy</t>
  </si>
  <si>
    <t xml:space="preserve">account based marketing examples</t>
  </si>
  <si>
    <t xml:space="preserve">/resources/abm-examples (new)</t>
  </si>
  <si>
    <t xml:space="preserve">abm examples</t>
  </si>
  <si>
    <t xml:space="preserve">account based marketing vs inbound marketing</t>
  </si>
  <si>
    <t xml:space="preserve">/resources/abm-vs-lead-generation</t>
  </si>
  <si>
    <t xml:space="preserve">abm vs demand generation</t>
  </si>
  <si>
    <t xml:space="preserve">abm vs lead generation</t>
  </si>
  <si>
    <t xml:space="preserve">1:1 abm</t>
  </si>
  <si>
    <t xml:space="preserve">/services/abm</t>
  </si>
  <si>
    <t xml:space="preserve">one to many abm</t>
  </si>
  <si>
    <t xml:space="preserve">1 to few abm</t>
  </si>
  <si>
    <t xml:space="preserve">account based marketing tools</t>
  </si>
  <si>
    <t xml:space="preserve">Commercial</t>
  </si>
  <si>
    <t xml:space="preserve">/resources/account-based-marketing-tools</t>
  </si>
  <si>
    <t xml:space="preserve">best abm tools</t>
  </si>
  <si>
    <t xml:space="preserve">abm platforms</t>
  </si>
  <si>
    <t xml:space="preserve">account based marketing software</t>
  </si>
  <si>
    <t xml:space="preserve">/resources/account-based-marketing-software</t>
  </si>
  <si>
    <t xml:space="preserve">account based marketing platform</t>
  </si>
  <si>
    <t xml:space="preserve">abm personalisation</t>
  </si>
  <si>
    <t xml:space="preserve">/resources/account-based-marketing-personalization</t>
  </si>
  <si>
    <t xml:space="preserve">account based marketing personalisation</t>
  </si>
  <si>
    <t xml:space="preserve">account based marketing metrics</t>
  </si>
  <si>
    <t xml:space="preserve">/resources/how-to-measure-account-based-marketing</t>
  </si>
  <si>
    <t xml:space="preserve">how to measure abm</t>
  </si>
  <si>
    <t xml:space="preserve">abm kpis</t>
  </si>
  <si>
    <t xml:space="preserve">account based marketing tactics</t>
  </si>
  <si>
    <t xml:space="preserve">/resources/account-based-marketing-tactics</t>
  </si>
  <si>
    <t xml:space="preserve">abm campaign</t>
  </si>
  <si>
    <t xml:space="preserve">abm campaign examples</t>
  </si>
  <si>
    <t xml:space="preserve">enterprise abm</t>
  </si>
  <si>
    <t xml:space="preserve">/resources/enterprise-account-based-marketing</t>
  </si>
  <si>
    <t xml:space="preserve">abm for saas</t>
  </si>
  <si>
    <t xml:space="preserve">/industries/saas (new)</t>
  </si>
  <si>
    <t xml:space="preserve">account based marketing for b2b</t>
  </si>
  <si>
    <t xml:space="preserve">abm content strategy</t>
  </si>
  <si>
    <t xml:space="preserve">abx account based experience</t>
  </si>
  <si>
    <t xml:space="preserve">buying committee b2b</t>
  </si>
  <si>
    <t xml:space="preserve">abm framework</t>
  </si>
  <si>
    <t xml:space="preserve">account based advertising</t>
  </si>
  <si>
    <t xml:space="preserve">/services/paid</t>
  </si>
  <si>
    <t xml:space="preserve">abm webinars</t>
  </si>
  <si>
    <t xml:space="preserve">/resources/account-based-marketing-webinars</t>
  </si>
  <si>
    <t xml:space="preserve">account based marketing agency</t>
  </si>
  <si>
    <t xml:space="preserve">abm agency</t>
  </si>
  <si>
    <t xml:space="preserve">abm agency uk</t>
  </si>
  <si>
    <t xml:space="preserve">account based marketing agency uk</t>
  </si>
  <si>
    <t xml:space="preserve">abm agency cost</t>
  </si>
  <si>
    <t xml:space="preserve">/pricing (new)</t>
  </si>
  <si>
    <t xml:space="preserve">abm agency vs in-house</t>
  </si>
  <si>
    <t xml:space="preserve">/compare/abm-agency-vs-in-house (new)</t>
  </si>
  <si>
    <t xml:space="preserve">what is demand generation</t>
  </si>
  <si>
    <t xml:space="preserve">Demand gen</t>
  </si>
  <si>
    <t xml:space="preserve">/resources/what-is-demand-generation</t>
  </si>
  <si>
    <t xml:space="preserve">demand generation</t>
  </si>
  <si>
    <t xml:space="preserve">/resources/b2b-demand-generation-marketing</t>
  </si>
  <si>
    <t xml:space="preserve">b2b demand generation</t>
  </si>
  <si>
    <t xml:space="preserve">demand generation strategy</t>
  </si>
  <si>
    <t xml:space="preserve">/resources/demand-gen-strategy</t>
  </si>
  <si>
    <t xml:space="preserve">demand generation vs lead generation</t>
  </si>
  <si>
    <t xml:space="preserve">/resources/lead-generation-vs-demand-generation-understanding-the-differences-and-benefits</t>
  </si>
  <si>
    <t xml:space="preserve">demand gen vs lead gen</t>
  </si>
  <si>
    <t xml:space="preserve">demand generation funnel</t>
  </si>
  <si>
    <t xml:space="preserve">/resources/demand-gen-funnel</t>
  </si>
  <si>
    <t xml:space="preserve">demand generation programmes</t>
  </si>
  <si>
    <t xml:space="preserve">/resources/demand-generation-programs</t>
  </si>
  <si>
    <t xml:space="preserve">demand generation software</t>
  </si>
  <si>
    <t xml:space="preserve">/resources/demand-gen-software</t>
  </si>
  <si>
    <t xml:space="preserve">demand generation tools</t>
  </si>
  <si>
    <t xml:space="preserve">demand generation agency</t>
  </si>
  <si>
    <t xml:space="preserve">/services/demand-generation</t>
  </si>
  <si>
    <t xml:space="preserve">demand generation agency uk</t>
  </si>
  <si>
    <t xml:space="preserve">b2b demand generation agency</t>
  </si>
  <si>
    <t xml:space="preserve">demand generation marketing</t>
  </si>
  <si>
    <t xml:space="preserve">demand generation examples</t>
  </si>
  <si>
    <t xml:space="preserve">demand gen vs performance max</t>
  </si>
  <si>
    <t xml:space="preserve">/resources/demand-gen-vs-performance-max</t>
  </si>
  <si>
    <t xml:space="preserve">google demand gen campaigns</t>
  </si>
  <si>
    <t xml:space="preserve">performance max vs demand gen</t>
  </si>
  <si>
    <t xml:space="preserve">dark social</t>
  </si>
  <si>
    <t xml:space="preserve">/resources/your-way-to-the-darksocial</t>
  </si>
  <si>
    <t xml:space="preserve">what is dark social</t>
  </si>
  <si>
    <t xml:space="preserve">b2b lead generation</t>
  </si>
  <si>
    <t xml:space="preserve">Lead gen</t>
  </si>
  <si>
    <t xml:space="preserve">/resources/lead-generation-strategies</t>
  </si>
  <si>
    <t xml:space="preserve">lead generation strategies</t>
  </si>
  <si>
    <t xml:space="preserve">b2b lead generation strategies</t>
  </si>
  <si>
    <t xml:space="preserve">cost per lead</t>
  </si>
  <si>
    <t xml:space="preserve">/resources/lead-generation-cost-per-lead</t>
  </si>
  <si>
    <t xml:space="preserve">average cost per lead b2b</t>
  </si>
  <si>
    <t xml:space="preserve">lead generation outsourcing</t>
  </si>
  <si>
    <t xml:space="preserve">/resources/lead-generation-outsourcing</t>
  </si>
  <si>
    <t xml:space="preserve">lead generation software</t>
  </si>
  <si>
    <t xml:space="preserve">/resources/lead-generation-software</t>
  </si>
  <si>
    <t xml:space="preserve">ai lead generation</t>
  </si>
  <si>
    <t xml:space="preserve">/resources/ai-lead-generation</t>
  </si>
  <si>
    <t xml:space="preserve">lead generation chatbot</t>
  </si>
  <si>
    <t xml:space="preserve">/resources/lead-generation-chatbot</t>
  </si>
  <si>
    <t xml:space="preserve">inbound lead generation</t>
  </si>
  <si>
    <t xml:space="preserve">/resources/inbound-lead-generation</t>
  </si>
  <si>
    <t xml:space="preserve">organic lead generation</t>
  </si>
  <si>
    <t xml:space="preserve">/resources/organic-lead-generation</t>
  </si>
  <si>
    <t xml:space="preserve">lead generation metrics</t>
  </si>
  <si>
    <t xml:space="preserve">/resources/lead-generation-metrics</t>
  </si>
  <si>
    <t xml:space="preserve">webinar lead generation</t>
  </si>
  <si>
    <t xml:space="preserve">/resources/webinar-lead-generation</t>
  </si>
  <si>
    <t xml:space="preserve">lead generation for tech companies</t>
  </si>
  <si>
    <t xml:space="preserve">/resources/lead-generation-for-technology-companies</t>
  </si>
  <si>
    <t xml:space="preserve">what is an mql</t>
  </si>
  <si>
    <t xml:space="preserve">/resources/how-to-measure-marketing-qualified-leads-effectively</t>
  </si>
  <si>
    <t xml:space="preserve">marketing qualified lead</t>
  </si>
  <si>
    <t xml:space="preserve">mql vs sql</t>
  </si>
  <si>
    <t xml:space="preserve">are mqls dead</t>
  </si>
  <si>
    <t xml:space="preserve">/resources/mqls-reframed-why-signals-drive-smarter-sales-conversations</t>
  </si>
  <si>
    <t xml:space="preserve">intent data</t>
  </si>
  <si>
    <t xml:space="preserve">b2b intent data</t>
  </si>
  <si>
    <t xml:space="preserve">signal based selling</t>
  </si>
  <si>
    <t xml:space="preserve">/resources/account-based-marketing-services</t>
  </si>
  <si>
    <t xml:space="preserve">go to market strategy</t>
  </si>
  <si>
    <t xml:space="preserve">GTM</t>
  </si>
  <si>
    <t xml:space="preserve">/resources/b2b-go-to-market-strategy</t>
  </si>
  <si>
    <t xml:space="preserve">b2b go to market strategy</t>
  </si>
  <si>
    <t xml:space="preserve">go to market strategy framework</t>
  </si>
  <si>
    <t xml:space="preserve">go to market strategy examples</t>
  </si>
  <si>
    <t xml:space="preserve">what is gtm</t>
  </si>
  <si>
    <t xml:space="preserve">gtm engineering</t>
  </si>
  <si>
    <t xml:space="preserve">/resources/what-is-gtm-engineering (new)</t>
  </si>
  <si>
    <t xml:space="preserve">gtm engineer</t>
  </si>
  <si>
    <t xml:space="preserve">what is a gtm engineer</t>
  </si>
  <si>
    <t xml:space="preserve">gtm systems</t>
  </si>
  <si>
    <t xml:space="preserve">/resources/gtm-systems</t>
  </si>
  <si>
    <t xml:space="preserve">revops</t>
  </si>
  <si>
    <t xml:space="preserve">/services/gtm-engineering</t>
  </si>
  <si>
    <t xml:space="preserve">what is revops</t>
  </si>
  <si>
    <t xml:space="preserve">lead routing</t>
  </si>
  <si>
    <t xml:space="preserve">/resources/hubspot-salesforce-lead-routing (new)</t>
  </si>
  <si>
    <t xml:space="preserve">hubspot salesforce integration</t>
  </si>
  <si>
    <t xml:space="preserve">lead scoring</t>
  </si>
  <si>
    <t xml:space="preserve">lead scoring model</t>
  </si>
  <si>
    <t xml:space="preserve">sales and marketing alignment</t>
  </si>
  <si>
    <t xml:space="preserve">/resources/b2b-marketing-and-sales-alignment</t>
  </si>
  <si>
    <t xml:space="preserve">smarketing</t>
  </si>
  <si>
    <t xml:space="preserve">clay gtm</t>
  </si>
  <si>
    <t xml:space="preserve">gtm efficiency</t>
  </si>
  <si>
    <t xml:space="preserve">/resources/why-cost-efficient-growth-starts-with-understanding-gtm-efficiency</t>
  </si>
  <si>
    <t xml:space="preserve">flywheel marketing</t>
  </si>
  <si>
    <t xml:space="preserve">/resources/the-4-step-flywheel-effect-a-proven-evergreen-framework-for-gtm-success</t>
  </si>
  <si>
    <t xml:space="preserve">ai agents for marketing</t>
  </si>
  <si>
    <t xml:space="preserve">AI</t>
  </si>
  <si>
    <t xml:space="preserve">/resources/ai-agents-for-b2b-marketing (new)</t>
  </si>
  <si>
    <t xml:space="preserve">ai agents for sales</t>
  </si>
  <si>
    <t xml:space="preserve">ai sdr</t>
  </si>
  <si>
    <t xml:space="preserve">/services/ai-agents</t>
  </si>
  <si>
    <t xml:space="preserve">ai sdr tools</t>
  </si>
  <si>
    <t xml:space="preserve">ai in b2b marketing</t>
  </si>
  <si>
    <t xml:space="preserve">/resources/the-top-5-ai-b2b-marketing-strategies-for-2026</t>
  </si>
  <si>
    <t xml:space="preserve">ai marketing strategy</t>
  </si>
  <si>
    <t xml:space="preserve">ai marketing automation</t>
  </si>
  <si>
    <t xml:space="preserve">/resources/b2b-marketing-automation</t>
  </si>
  <si>
    <t xml:space="preserve">ai agent development</t>
  </si>
  <si>
    <t xml:space="preserve">ai abm</t>
  </si>
  <si>
    <t xml:space="preserve">/resources/the-ai-powered-abm-blueprint</t>
  </si>
  <si>
    <t xml:space="preserve">ai account scoring</t>
  </si>
  <si>
    <t xml:space="preserve">b2b marketing</t>
  </si>
  <si>
    <t xml:space="preserve">B2B marketing</t>
  </si>
  <si>
    <t xml:space="preserve">/resources/b2b-marketing</t>
  </si>
  <si>
    <t xml:space="preserve">b2b marketing strategy</t>
  </si>
  <si>
    <t xml:space="preserve">/resources/b2b-marketing-strategies</t>
  </si>
  <si>
    <t xml:space="preserve">b2b marketing strategies</t>
  </si>
  <si>
    <t xml:space="preserve">b2b marketing plan</t>
  </si>
  <si>
    <t xml:space="preserve">/resources/b2b-marketing-plan</t>
  </si>
  <si>
    <t xml:space="preserve">b2b marketing plan template</t>
  </si>
  <si>
    <t xml:space="preserve">b2b marketing budget</t>
  </si>
  <si>
    <t xml:space="preserve">/resources/b2b-marketing-budget</t>
  </si>
  <si>
    <t xml:space="preserve">b2b marketing budget percentage of revenue</t>
  </si>
  <si>
    <t xml:space="preserve">b2b marketing funnel</t>
  </si>
  <si>
    <t xml:space="preserve">/resources/b2b-marketing-funnel</t>
  </si>
  <si>
    <t xml:space="preserve">b2b content marketing funnel</t>
  </si>
  <si>
    <t xml:space="preserve">/resources/b2b-content-marketing-funnel</t>
  </si>
  <si>
    <t xml:space="preserve">b2b marketing metrics</t>
  </si>
  <si>
    <t xml:space="preserve">/resources/b2b-marketing-metrics</t>
  </si>
  <si>
    <t xml:space="preserve">b2b marketing kpis</t>
  </si>
  <si>
    <t xml:space="preserve">b2b marketing ideas</t>
  </si>
  <si>
    <t xml:space="preserve">/resources/b2b-marketing-ideas</t>
  </si>
  <si>
    <t xml:space="preserve">b2b marketing trends 2026</t>
  </si>
  <si>
    <t xml:space="preserve">/resources/b2b-marketing-trends-2026</t>
  </si>
  <si>
    <t xml:space="preserve">b2b marketing trends 2027</t>
  </si>
  <si>
    <t xml:space="preserve">b2b marketing automation</t>
  </si>
  <si>
    <t xml:space="preserve">marketing automation examples</t>
  </si>
  <si>
    <t xml:space="preserve">/resources/b2b-marketing-automation-examples</t>
  </si>
  <si>
    <t xml:space="preserve">b2b partner marketing</t>
  </si>
  <si>
    <t xml:space="preserve">/resources/b2b-partner-marketing</t>
  </si>
  <si>
    <t xml:space="preserve">b2b referral marketing</t>
  </si>
  <si>
    <t xml:space="preserve">/resources/b2b-referral-marketing</t>
  </si>
  <si>
    <t xml:space="preserve">b2b market segmentation</t>
  </si>
  <si>
    <t xml:space="preserve">/resources/b2b-market-segmentation</t>
  </si>
  <si>
    <t xml:space="preserve">ideal customer profile</t>
  </si>
  <si>
    <t xml:space="preserve">how to build an icp</t>
  </si>
  <si>
    <t xml:space="preserve">b2b marketing consultant</t>
  </si>
  <si>
    <t xml:space="preserve">/resources/b2b-marketing-consultant</t>
  </si>
  <si>
    <t xml:space="preserve">b2b marketing agency</t>
  </si>
  <si>
    <t xml:space="preserve">/services</t>
  </si>
  <si>
    <t xml:space="preserve">b2b marketing agency london</t>
  </si>
  <si>
    <t xml:space="preserve">b2b saas marketing agency</t>
  </si>
  <si>
    <t xml:space="preserve">fractional cmo</t>
  </si>
  <si>
    <t xml:space="preserve">b2b webinar strategy</t>
  </si>
  <si>
    <t xml:space="preserve">/resources/b2b-marketing-webinars</t>
  </si>
  <si>
    <t xml:space="preserve">webinar marketing</t>
  </si>
  <si>
    <t xml:space="preserve">/resources/how-to-improve-webinar-marketing-6-reasons-6-solutions</t>
  </si>
  <si>
    <t xml:space="preserve">gated vs ungated content</t>
  </si>
  <si>
    <t xml:space="preserve">/resources/to-gate-or-un-gate-strategies-on-how-to-make-your-b2b-brand-binge-able</t>
  </si>
  <si>
    <t xml:space="preserve">b2b brand storytelling</t>
  </si>
  <si>
    <t xml:space="preserve">/resources/mastering-storytelling-how-b2b-brands-can-stimulate-their-market</t>
  </si>
  <si>
    <t xml:space="preserve">all bound marketing</t>
  </si>
  <si>
    <t xml:space="preserve">/resources/what-is-all-bound-understanding-the-strategy-behind-comprehensive-sales-approaches</t>
  </si>
  <si>
    <t xml:space="preserve">inbound led outbound</t>
  </si>
  <si>
    <t xml:space="preserve">/resources/inbound-led-outbound</t>
  </si>
  <si>
    <t xml:space="preserve">performance marketing</t>
  </si>
  <si>
    <t xml:space="preserve">Paid</t>
  </si>
  <si>
    <t xml:space="preserve">/resources/performance-marketing-optimization</t>
  </si>
  <si>
    <t xml:space="preserve">performance marketing tools</t>
  </si>
  <si>
    <t xml:space="preserve">/resources/performance-marketing-tools</t>
  </si>
  <si>
    <t xml:space="preserve">linkedin ads for b2b</t>
  </si>
  <si>
    <t xml:space="preserve">linkedin ads cost uk</t>
  </si>
  <si>
    <t xml:space="preserve">b2b paid media</t>
  </si>
  <si>
    <t xml:space="preserve">linkedin advertising agency</t>
  </si>
  <si>
    <t xml:space="preserve">private equity portfolio company marketing</t>
  </si>
  <si>
    <t xml:space="preserve">PE</t>
  </si>
  <si>
    <t xml:space="preserve">/industries/private-equity (new)</t>
  </si>
  <si>
    <t xml:space="preserve">pe value creation marketing</t>
  </si>
  <si>
    <t xml:space="preserve">/resources/unlock-enterprise-value-with-ai-and-abm-in-pe-value-creation</t>
  </si>
  <si>
    <t xml:space="preserve">marketing for pe backed companies</t>
  </si>
  <si>
    <t xml:space="preserve">b2b content marketing</t>
  </si>
  <si>
    <t xml:space="preserve">Owned</t>
  </si>
  <si>
    <t xml:space="preserve">/services/owned</t>
  </si>
  <si>
    <t xml:space="preserve">b2b email marketing</t>
  </si>
  <si>
    <t xml:space="preserve">/resources/unlocking-growth-with-emails-the-power-of-targeted-outreach-in-demand-generation</t>
  </si>
  <si>
    <t xml:space="preserve">b2b video marketing</t>
  </si>
  <si>
    <t xml:space="preserve">/resources/building-world-class-watchable-content</t>
  </si>
  <si>
    <t xml:space="preserve">b2b social media strategy</t>
  </si>
  <si>
    <t xml:space="preserve">employee advocacy</t>
  </si>
  <si>
    <t xml:space="preserve">Summary by cluster</t>
  </si>
  <si>
    <t xml:space="preserve">Candidates</t>
  </si>
  <si>
    <t xml:space="preserve">With UK volume</t>
  </si>
  <si>
    <t xml:space="preserve">AIO present</t>
  </si>
  <si>
    <t xml:space="preserve">Tracked (top 100)</t>
  </si>
  <si>
    <t xml:space="preserve">UK volume tracked</t>
  </si>
  <si>
    <t xml:space="preserve">Total</t>
  </si>
  <si>
    <t xml:space="preserve">Copy each batch into Semrush Keyword Overview (database: UK). 100 keywords max per batch.</t>
  </si>
  <si>
    <t xml:space="preserve">Batch 1</t>
  </si>
  <si>
    <t xml:space="preserve">Batch 2</t>
  </si>
  <si>
    <t xml:space="preserve">How to use this sheet</t>
  </si>
  <si>
    <t xml:space="preserve">1. Semrush Paste tab: copy Batch 1 and Batch 2 into Semrush Keyword Overview, database UK. Export each.</t>
  </si>
  <si>
    <t xml:space="preserve">2. In 'AIO Keywords', fill the yellow columns: UK volume, UK KD, and 'AI Overview in SERP?' (Yes if the SERP Features column lists 'AI overview').</t>
  </si>
  <si>
    <t xml:space="preserve">3. Score, Rank and 'Track?' update automatically. The 100 highest-scoring keywords with UK volume are marked 'Track'.</t>
  </si>
  <si>
    <t xml:space="preserve">4. Filter 'Track?' = Track and load those keywords into your AIO tracking tool (UK, desktop + mobile).</t>
  </si>
  <si>
    <t xml:space="preserve">5. Or connect the Semrush connector in claude.ai and ask Claude to fill the yellow columns for you.</t>
  </si>
  <si>
    <t xml:space="preserve">Blue text on yellow = inputs. Black = formulas.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</si>
</sst>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6FC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2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13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9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n">
        <v>1</v>
      </c>
      <c r="B6" s="5" t="s">
        <v>14</v>
      </c>
      <c r="C6" s="5" t="s">
        <v>15</v>
      </c>
      <c r="D6" s="5" t="s">
        <v>16</v>
      </c>
      <c r="E6" s="5" t="s">
        <v>17</v>
      </c>
      <c r="F6" s="6"/>
      <c r="G6" s="6"/>
      <c r="H6" s="6"/>
      <c r="I6" s="7" t="n">
        <f aca="false">IF(N(F6)&gt;0,F6*IF(H6="Yes",2,1)*IF(D6="Commercial",1.5,1)+ROW()/1000000,0)</f>
        <v>0</v>
      </c>
      <c r="J6" s="8" t="str">
        <f aca="false">IF(I6&gt;0,COUNTIF($I$6:$I$162,"&gt;"&amp;I6)+1,"")</f>
        <v/>
      </c>
      <c r="K6" s="9" t="str">
        <f aca="false">IF(AND(ISNUMBER(J6),J6&lt;=100),"Track","")</f>
        <v/>
      </c>
    </row>
    <row r="7" customFormat="false" ht="15" hidden="false" customHeight="false" outlineLevel="0" collapsed="false">
      <c r="A7" s="10" t="n">
        <v>2</v>
      </c>
      <c r="B7" s="10" t="s">
        <v>18</v>
      </c>
      <c r="C7" s="10" t="s">
        <v>15</v>
      </c>
      <c r="D7" s="10" t="s">
        <v>16</v>
      </c>
      <c r="E7" s="10" t="s">
        <v>17</v>
      </c>
      <c r="F7" s="6"/>
      <c r="G7" s="6"/>
      <c r="H7" s="6"/>
      <c r="I7" s="7" t="n">
        <f aca="false">IF(N(F7)&gt;0,F7*IF(H7="Yes",2,1)*IF(D7="Commercial",1.5,1)+ROW()/1000000,0)</f>
        <v>0</v>
      </c>
      <c r="J7" s="8" t="str">
        <f aca="false">IF(I7&gt;0,COUNTIF($I$6:$I$162,"&gt;"&amp;I7)+1,"")</f>
        <v/>
      </c>
      <c r="K7" s="9" t="str">
        <f aca="false">IF(AND(ISNUMBER(J7),J7&lt;=100),"Track","")</f>
        <v/>
      </c>
    </row>
    <row r="8" customFormat="false" ht="15" hidden="false" customHeight="false" outlineLevel="0" collapsed="false">
      <c r="A8" s="5" t="n">
        <v>3</v>
      </c>
      <c r="B8" s="5" t="s">
        <v>19</v>
      </c>
      <c r="C8" s="5" t="s">
        <v>15</v>
      </c>
      <c r="D8" s="5" t="s">
        <v>16</v>
      </c>
      <c r="E8" s="5" t="s">
        <v>17</v>
      </c>
      <c r="F8" s="6"/>
      <c r="G8" s="6"/>
      <c r="H8" s="6"/>
      <c r="I8" s="7" t="n">
        <f aca="false">IF(N(F8)&gt;0,F8*IF(H8="Yes",2,1)*IF(D8="Commercial",1.5,1)+ROW()/1000000,0)</f>
        <v>0</v>
      </c>
      <c r="J8" s="8" t="str">
        <f aca="false">IF(I8&gt;0,COUNTIF($I$6:$I$162,"&gt;"&amp;I8)+1,"")</f>
        <v/>
      </c>
      <c r="K8" s="9" t="str">
        <f aca="false">IF(AND(ISNUMBER(J8),J8&lt;=100),"Track","")</f>
        <v/>
      </c>
    </row>
    <row r="9" customFormat="false" ht="15" hidden="false" customHeight="false" outlineLevel="0" collapsed="false">
      <c r="A9" s="10" t="n">
        <v>4</v>
      </c>
      <c r="B9" s="10" t="s">
        <v>20</v>
      </c>
      <c r="C9" s="10" t="s">
        <v>15</v>
      </c>
      <c r="D9" s="10" t="s">
        <v>16</v>
      </c>
      <c r="E9" s="10" t="s">
        <v>17</v>
      </c>
      <c r="F9" s="6"/>
      <c r="G9" s="6"/>
      <c r="H9" s="6"/>
      <c r="I9" s="7" t="n">
        <f aca="false">IF(N(F9)&gt;0,F9*IF(H9="Yes",2,1)*IF(D9="Commercial",1.5,1)+ROW()/1000000,0)</f>
        <v>0</v>
      </c>
      <c r="J9" s="8" t="str">
        <f aca="false">IF(I9&gt;0,COUNTIF($I$6:$I$162,"&gt;"&amp;I9)+1,"")</f>
        <v/>
      </c>
      <c r="K9" s="9" t="str">
        <f aca="false">IF(AND(ISNUMBER(J9),J9&lt;=100),"Track","")</f>
        <v/>
      </c>
    </row>
    <row r="10" customFormat="false" ht="15" hidden="false" customHeight="false" outlineLevel="0" collapsed="false">
      <c r="A10" s="5" t="n">
        <v>5</v>
      </c>
      <c r="B10" s="5" t="s">
        <v>21</v>
      </c>
      <c r="C10" s="5" t="s">
        <v>15</v>
      </c>
      <c r="D10" s="5" t="s">
        <v>16</v>
      </c>
      <c r="E10" s="5" t="s">
        <v>22</v>
      </c>
      <c r="F10" s="6"/>
      <c r="G10" s="6"/>
      <c r="H10" s="6"/>
      <c r="I10" s="7" t="n">
        <f aca="false">IF(N(F10)&gt;0,F10*IF(H10="Yes",2,1)*IF(D10="Commercial",1.5,1)+ROW()/1000000,0)</f>
        <v>0</v>
      </c>
      <c r="J10" s="8" t="str">
        <f aca="false">IF(I10&gt;0,COUNTIF($I$6:$I$162,"&gt;"&amp;I10)+1,"")</f>
        <v/>
      </c>
      <c r="K10" s="9" t="str">
        <f aca="false">IF(AND(ISNUMBER(J10),J10&lt;=100),"Track","")</f>
        <v/>
      </c>
    </row>
    <row r="11" customFormat="false" ht="15" hidden="false" customHeight="false" outlineLevel="0" collapsed="false">
      <c r="A11" s="10" t="n">
        <v>6</v>
      </c>
      <c r="B11" s="10" t="s">
        <v>23</v>
      </c>
      <c r="C11" s="10" t="s">
        <v>15</v>
      </c>
      <c r="D11" s="10" t="s">
        <v>16</v>
      </c>
      <c r="E11" s="10" t="s">
        <v>22</v>
      </c>
      <c r="F11" s="6"/>
      <c r="G11" s="6"/>
      <c r="H11" s="6"/>
      <c r="I11" s="7" t="n">
        <f aca="false">IF(N(F11)&gt;0,F11*IF(H11="Yes",2,1)*IF(D11="Commercial",1.5,1)+ROW()/1000000,0)</f>
        <v>0</v>
      </c>
      <c r="J11" s="8" t="str">
        <f aca="false">IF(I11&gt;0,COUNTIF($I$6:$I$162,"&gt;"&amp;I11)+1,"")</f>
        <v/>
      </c>
      <c r="K11" s="9" t="str">
        <f aca="false">IF(AND(ISNUMBER(J11),J11&lt;=100),"Track","")</f>
        <v/>
      </c>
    </row>
    <row r="12" customFormat="false" ht="15" hidden="false" customHeight="false" outlineLevel="0" collapsed="false">
      <c r="A12" s="5" t="n">
        <v>7</v>
      </c>
      <c r="B12" s="5" t="s">
        <v>24</v>
      </c>
      <c r="C12" s="5" t="s">
        <v>15</v>
      </c>
      <c r="D12" s="5" t="s">
        <v>16</v>
      </c>
      <c r="E12" s="5" t="s">
        <v>25</v>
      </c>
      <c r="F12" s="6"/>
      <c r="G12" s="6"/>
      <c r="H12" s="6"/>
      <c r="I12" s="7" t="n">
        <f aca="false">IF(N(F12)&gt;0,F12*IF(H12="Yes",2,1)*IF(D12="Commercial",1.5,1)+ROW()/1000000,0)</f>
        <v>0</v>
      </c>
      <c r="J12" s="8" t="str">
        <f aca="false">IF(I12&gt;0,COUNTIF($I$6:$I$162,"&gt;"&amp;I12)+1,"")</f>
        <v/>
      </c>
      <c r="K12" s="9" t="str">
        <f aca="false">IF(AND(ISNUMBER(J12),J12&lt;=100),"Track","")</f>
        <v/>
      </c>
    </row>
    <row r="13" customFormat="false" ht="15" hidden="false" customHeight="false" outlineLevel="0" collapsed="false">
      <c r="A13" s="10" t="n">
        <v>8</v>
      </c>
      <c r="B13" s="10" t="s">
        <v>26</v>
      </c>
      <c r="C13" s="10" t="s">
        <v>15</v>
      </c>
      <c r="D13" s="10" t="s">
        <v>16</v>
      </c>
      <c r="E13" s="10" t="s">
        <v>25</v>
      </c>
      <c r="F13" s="6"/>
      <c r="G13" s="6"/>
      <c r="H13" s="6"/>
      <c r="I13" s="7" t="n">
        <f aca="false">IF(N(F13)&gt;0,F13*IF(H13="Yes",2,1)*IF(D13="Commercial",1.5,1)+ROW()/1000000,0)</f>
        <v>0</v>
      </c>
      <c r="J13" s="8" t="str">
        <f aca="false">IF(I13&gt;0,COUNTIF($I$6:$I$162,"&gt;"&amp;I13)+1,"")</f>
        <v/>
      </c>
      <c r="K13" s="9" t="str">
        <f aca="false">IF(AND(ISNUMBER(J13),J13&lt;=100),"Track","")</f>
        <v/>
      </c>
    </row>
    <row r="14" customFormat="false" ht="15" hidden="false" customHeight="false" outlineLevel="0" collapsed="false">
      <c r="A14" s="5" t="n">
        <v>9</v>
      </c>
      <c r="B14" s="5" t="s">
        <v>27</v>
      </c>
      <c r="C14" s="5" t="s">
        <v>15</v>
      </c>
      <c r="D14" s="5" t="s">
        <v>16</v>
      </c>
      <c r="E14" s="5" t="s">
        <v>25</v>
      </c>
      <c r="F14" s="6"/>
      <c r="G14" s="6"/>
      <c r="H14" s="6"/>
      <c r="I14" s="7" t="n">
        <f aca="false">IF(N(F14)&gt;0,F14*IF(H14="Yes",2,1)*IF(D14="Commercial",1.5,1)+ROW()/1000000,0)</f>
        <v>0</v>
      </c>
      <c r="J14" s="8" t="str">
        <f aca="false">IF(I14&gt;0,COUNTIF($I$6:$I$162,"&gt;"&amp;I14)+1,"")</f>
        <v/>
      </c>
      <c r="K14" s="9" t="str">
        <f aca="false">IF(AND(ISNUMBER(J14),J14&lt;=100),"Track","")</f>
        <v/>
      </c>
    </row>
    <row r="15" customFormat="false" ht="15" hidden="false" customHeight="false" outlineLevel="0" collapsed="false">
      <c r="A15" s="10" t="n">
        <v>10</v>
      </c>
      <c r="B15" s="10" t="s">
        <v>28</v>
      </c>
      <c r="C15" s="10" t="s">
        <v>15</v>
      </c>
      <c r="D15" s="10" t="s">
        <v>16</v>
      </c>
      <c r="E15" s="10" t="s">
        <v>29</v>
      </c>
      <c r="F15" s="6"/>
      <c r="G15" s="6"/>
      <c r="H15" s="6"/>
      <c r="I15" s="7" t="n">
        <f aca="false">IF(N(F15)&gt;0,F15*IF(H15="Yes",2,1)*IF(D15="Commercial",1.5,1)+ROW()/1000000,0)</f>
        <v>0</v>
      </c>
      <c r="J15" s="8" t="str">
        <f aca="false">IF(I15&gt;0,COUNTIF($I$6:$I$162,"&gt;"&amp;I15)+1,"")</f>
        <v/>
      </c>
      <c r="K15" s="9" t="str">
        <f aca="false">IF(AND(ISNUMBER(J15),J15&lt;=100),"Track","")</f>
        <v/>
      </c>
    </row>
    <row r="16" customFormat="false" ht="15" hidden="false" customHeight="false" outlineLevel="0" collapsed="false">
      <c r="A16" s="5" t="n">
        <v>11</v>
      </c>
      <c r="B16" s="5" t="s">
        <v>30</v>
      </c>
      <c r="C16" s="5" t="s">
        <v>15</v>
      </c>
      <c r="D16" s="5" t="s">
        <v>16</v>
      </c>
      <c r="E16" s="5" t="s">
        <v>29</v>
      </c>
      <c r="F16" s="6"/>
      <c r="G16" s="6"/>
      <c r="H16" s="6"/>
      <c r="I16" s="7" t="n">
        <f aca="false">IF(N(F16)&gt;0,F16*IF(H16="Yes",2,1)*IF(D16="Commercial",1.5,1)+ROW()/1000000,0)</f>
        <v>0</v>
      </c>
      <c r="J16" s="8" t="str">
        <f aca="false">IF(I16&gt;0,COUNTIF($I$6:$I$162,"&gt;"&amp;I16)+1,"")</f>
        <v/>
      </c>
      <c r="K16" s="9" t="str">
        <f aca="false">IF(AND(ISNUMBER(J16),J16&lt;=100),"Track","")</f>
        <v/>
      </c>
    </row>
    <row r="17" customFormat="false" ht="15" hidden="false" customHeight="false" outlineLevel="0" collapsed="false">
      <c r="A17" s="10" t="n">
        <v>12</v>
      </c>
      <c r="B17" s="10" t="s">
        <v>31</v>
      </c>
      <c r="C17" s="10" t="s">
        <v>15</v>
      </c>
      <c r="D17" s="10" t="s">
        <v>16</v>
      </c>
      <c r="E17" s="10" t="s">
        <v>29</v>
      </c>
      <c r="F17" s="6"/>
      <c r="G17" s="6"/>
      <c r="H17" s="6"/>
      <c r="I17" s="7" t="n">
        <f aca="false">IF(N(F17)&gt;0,F17*IF(H17="Yes",2,1)*IF(D17="Commercial",1.5,1)+ROW()/1000000,0)</f>
        <v>0</v>
      </c>
      <c r="J17" s="8" t="str">
        <f aca="false">IF(I17&gt;0,COUNTIF($I$6:$I$162,"&gt;"&amp;I17)+1,"")</f>
        <v/>
      </c>
      <c r="K17" s="9" t="str">
        <f aca="false">IF(AND(ISNUMBER(J17),J17&lt;=100),"Track","")</f>
        <v/>
      </c>
    </row>
    <row r="18" customFormat="false" ht="15" hidden="false" customHeight="false" outlineLevel="0" collapsed="false">
      <c r="A18" s="5" t="n">
        <v>13</v>
      </c>
      <c r="B18" s="5" t="s">
        <v>32</v>
      </c>
      <c r="C18" s="5" t="s">
        <v>15</v>
      </c>
      <c r="D18" s="5" t="s">
        <v>33</v>
      </c>
      <c r="E18" s="5" t="s">
        <v>34</v>
      </c>
      <c r="F18" s="6"/>
      <c r="G18" s="6"/>
      <c r="H18" s="6"/>
      <c r="I18" s="7" t="n">
        <f aca="false">IF(N(F18)&gt;0,F18*IF(H18="Yes",2,1)*IF(D18="Commercial",1.5,1)+ROW()/1000000,0)</f>
        <v>0</v>
      </c>
      <c r="J18" s="8" t="str">
        <f aca="false">IF(I18&gt;0,COUNTIF($I$6:$I$162,"&gt;"&amp;I18)+1,"")</f>
        <v/>
      </c>
      <c r="K18" s="9" t="str">
        <f aca="false">IF(AND(ISNUMBER(J18),J18&lt;=100),"Track","")</f>
        <v/>
      </c>
    </row>
    <row r="19" customFormat="false" ht="15" hidden="false" customHeight="false" outlineLevel="0" collapsed="false">
      <c r="A19" s="10" t="n">
        <v>14</v>
      </c>
      <c r="B19" s="10" t="s">
        <v>35</v>
      </c>
      <c r="C19" s="10" t="s">
        <v>15</v>
      </c>
      <c r="D19" s="10" t="s">
        <v>33</v>
      </c>
      <c r="E19" s="10" t="s">
        <v>34</v>
      </c>
      <c r="F19" s="6"/>
      <c r="G19" s="6"/>
      <c r="H19" s="6"/>
      <c r="I19" s="7" t="n">
        <f aca="false">IF(N(F19)&gt;0,F19*IF(H19="Yes",2,1)*IF(D19="Commercial",1.5,1)+ROW()/1000000,0)</f>
        <v>0</v>
      </c>
      <c r="J19" s="8" t="str">
        <f aca="false">IF(I19&gt;0,COUNTIF($I$6:$I$162,"&gt;"&amp;I19)+1,"")</f>
        <v/>
      </c>
      <c r="K19" s="9" t="str">
        <f aca="false">IF(AND(ISNUMBER(J19),J19&lt;=100),"Track","")</f>
        <v/>
      </c>
    </row>
    <row r="20" customFormat="false" ht="15" hidden="false" customHeight="false" outlineLevel="0" collapsed="false">
      <c r="A20" s="5" t="n">
        <v>15</v>
      </c>
      <c r="B20" s="5" t="s">
        <v>36</v>
      </c>
      <c r="C20" s="5" t="s">
        <v>15</v>
      </c>
      <c r="D20" s="5" t="s">
        <v>33</v>
      </c>
      <c r="E20" s="5" t="s">
        <v>34</v>
      </c>
      <c r="F20" s="6"/>
      <c r="G20" s="6"/>
      <c r="H20" s="6"/>
      <c r="I20" s="7" t="n">
        <f aca="false">IF(N(F20)&gt;0,F20*IF(H20="Yes",2,1)*IF(D20="Commercial",1.5,1)+ROW()/1000000,0)</f>
        <v>0</v>
      </c>
      <c r="J20" s="8" t="str">
        <f aca="false">IF(I20&gt;0,COUNTIF($I$6:$I$162,"&gt;"&amp;I20)+1,"")</f>
        <v/>
      </c>
      <c r="K20" s="9" t="str">
        <f aca="false">IF(AND(ISNUMBER(J20),J20&lt;=100),"Track","")</f>
        <v/>
      </c>
    </row>
    <row r="21" customFormat="false" ht="15" hidden="false" customHeight="false" outlineLevel="0" collapsed="false">
      <c r="A21" s="10" t="n">
        <v>16</v>
      </c>
      <c r="B21" s="10" t="s">
        <v>37</v>
      </c>
      <c r="C21" s="10" t="s">
        <v>15</v>
      </c>
      <c r="D21" s="10" t="s">
        <v>33</v>
      </c>
      <c r="E21" s="10" t="s">
        <v>38</v>
      </c>
      <c r="F21" s="6"/>
      <c r="G21" s="6"/>
      <c r="H21" s="6"/>
      <c r="I21" s="7" t="n">
        <f aca="false">IF(N(F21)&gt;0,F21*IF(H21="Yes",2,1)*IF(D21="Commercial",1.5,1)+ROW()/1000000,0)</f>
        <v>0</v>
      </c>
      <c r="J21" s="8" t="str">
        <f aca="false">IF(I21&gt;0,COUNTIF($I$6:$I$162,"&gt;"&amp;I21)+1,"")</f>
        <v/>
      </c>
      <c r="K21" s="9" t="str">
        <f aca="false">IF(AND(ISNUMBER(J21),J21&lt;=100),"Track","")</f>
        <v/>
      </c>
    </row>
    <row r="22" customFormat="false" ht="15" hidden="false" customHeight="false" outlineLevel="0" collapsed="false">
      <c r="A22" s="5" t="n">
        <v>17</v>
      </c>
      <c r="B22" s="5" t="s">
        <v>39</v>
      </c>
      <c r="C22" s="5" t="s">
        <v>15</v>
      </c>
      <c r="D22" s="5" t="s">
        <v>33</v>
      </c>
      <c r="E22" s="5" t="s">
        <v>34</v>
      </c>
      <c r="F22" s="6"/>
      <c r="G22" s="6"/>
      <c r="H22" s="6"/>
      <c r="I22" s="7" t="n">
        <f aca="false">IF(N(F22)&gt;0,F22*IF(H22="Yes",2,1)*IF(D22="Commercial",1.5,1)+ROW()/1000000,0)</f>
        <v>0</v>
      </c>
      <c r="J22" s="8" t="str">
        <f aca="false">IF(I22&gt;0,COUNTIF($I$6:$I$162,"&gt;"&amp;I22)+1,"")</f>
        <v/>
      </c>
      <c r="K22" s="9" t="str">
        <f aca="false">IF(AND(ISNUMBER(J22),J22&lt;=100),"Track","")</f>
        <v/>
      </c>
    </row>
    <row r="23" customFormat="false" ht="15" hidden="false" customHeight="false" outlineLevel="0" collapsed="false">
      <c r="A23" s="10" t="n">
        <v>18</v>
      </c>
      <c r="B23" s="10" t="s">
        <v>40</v>
      </c>
      <c r="C23" s="10" t="s">
        <v>15</v>
      </c>
      <c r="D23" s="10" t="s">
        <v>16</v>
      </c>
      <c r="E23" s="10" t="s">
        <v>41</v>
      </c>
      <c r="F23" s="6"/>
      <c r="G23" s="6"/>
      <c r="H23" s="6"/>
      <c r="I23" s="7" t="n">
        <f aca="false">IF(N(F23)&gt;0,F23*IF(H23="Yes",2,1)*IF(D23="Commercial",1.5,1)+ROW()/1000000,0)</f>
        <v>0</v>
      </c>
      <c r="J23" s="8" t="str">
        <f aca="false">IF(I23&gt;0,COUNTIF($I$6:$I$162,"&gt;"&amp;I23)+1,"")</f>
        <v/>
      </c>
      <c r="K23" s="9" t="str">
        <f aca="false">IF(AND(ISNUMBER(J23),J23&lt;=100),"Track","")</f>
        <v/>
      </c>
    </row>
    <row r="24" customFormat="false" ht="15" hidden="false" customHeight="false" outlineLevel="0" collapsed="false">
      <c r="A24" s="5" t="n">
        <v>19</v>
      </c>
      <c r="B24" s="5" t="s">
        <v>42</v>
      </c>
      <c r="C24" s="5" t="s">
        <v>15</v>
      </c>
      <c r="D24" s="5" t="s">
        <v>16</v>
      </c>
      <c r="E24" s="5" t="s">
        <v>41</v>
      </c>
      <c r="F24" s="6"/>
      <c r="G24" s="6"/>
      <c r="H24" s="6"/>
      <c r="I24" s="7" t="n">
        <f aca="false">IF(N(F24)&gt;0,F24*IF(H24="Yes",2,1)*IF(D24="Commercial",1.5,1)+ROW()/1000000,0)</f>
        <v>0</v>
      </c>
      <c r="J24" s="8" t="str">
        <f aca="false">IF(I24&gt;0,COUNTIF($I$6:$I$162,"&gt;"&amp;I24)+1,"")</f>
        <v/>
      </c>
      <c r="K24" s="9" t="str">
        <f aca="false">IF(AND(ISNUMBER(J24),J24&lt;=100),"Track","")</f>
        <v/>
      </c>
    </row>
    <row r="25" customFormat="false" ht="15" hidden="false" customHeight="false" outlineLevel="0" collapsed="false">
      <c r="A25" s="10" t="n">
        <v>20</v>
      </c>
      <c r="B25" s="10" t="s">
        <v>43</v>
      </c>
      <c r="C25" s="10" t="s">
        <v>15</v>
      </c>
      <c r="D25" s="10" t="s">
        <v>16</v>
      </c>
      <c r="E25" s="10" t="s">
        <v>44</v>
      </c>
      <c r="F25" s="6"/>
      <c r="G25" s="6"/>
      <c r="H25" s="6"/>
      <c r="I25" s="7" t="n">
        <f aca="false">IF(N(F25)&gt;0,F25*IF(H25="Yes",2,1)*IF(D25="Commercial",1.5,1)+ROW()/1000000,0)</f>
        <v>0</v>
      </c>
      <c r="J25" s="8" t="str">
        <f aca="false">IF(I25&gt;0,COUNTIF($I$6:$I$162,"&gt;"&amp;I25)+1,"")</f>
        <v/>
      </c>
      <c r="K25" s="9" t="str">
        <f aca="false">IF(AND(ISNUMBER(J25),J25&lt;=100),"Track","")</f>
        <v/>
      </c>
    </row>
    <row r="26" customFormat="false" ht="15" hidden="false" customHeight="false" outlineLevel="0" collapsed="false">
      <c r="A26" s="5" t="n">
        <v>21</v>
      </c>
      <c r="B26" s="5" t="s">
        <v>45</v>
      </c>
      <c r="C26" s="5" t="s">
        <v>15</v>
      </c>
      <c r="D26" s="5" t="s">
        <v>16</v>
      </c>
      <c r="E26" s="5" t="s">
        <v>44</v>
      </c>
      <c r="F26" s="6"/>
      <c r="G26" s="6"/>
      <c r="H26" s="6"/>
      <c r="I26" s="7" t="n">
        <f aca="false">IF(N(F26)&gt;0,F26*IF(H26="Yes",2,1)*IF(D26="Commercial",1.5,1)+ROW()/1000000,0)</f>
        <v>0</v>
      </c>
      <c r="J26" s="8" t="str">
        <f aca="false">IF(I26&gt;0,COUNTIF($I$6:$I$162,"&gt;"&amp;I26)+1,"")</f>
        <v/>
      </c>
      <c r="K26" s="9" t="str">
        <f aca="false">IF(AND(ISNUMBER(J26),J26&lt;=100),"Track","")</f>
        <v/>
      </c>
    </row>
    <row r="27" customFormat="false" ht="15" hidden="false" customHeight="false" outlineLevel="0" collapsed="false">
      <c r="A27" s="10" t="n">
        <v>22</v>
      </c>
      <c r="B27" s="10" t="s">
        <v>46</v>
      </c>
      <c r="C27" s="10" t="s">
        <v>15</v>
      </c>
      <c r="D27" s="10" t="s">
        <v>16</v>
      </c>
      <c r="E27" s="10" t="s">
        <v>44</v>
      </c>
      <c r="F27" s="6"/>
      <c r="G27" s="6"/>
      <c r="H27" s="6"/>
      <c r="I27" s="7" t="n">
        <f aca="false">IF(N(F27)&gt;0,F27*IF(H27="Yes",2,1)*IF(D27="Commercial",1.5,1)+ROW()/1000000,0)</f>
        <v>0</v>
      </c>
      <c r="J27" s="8" t="str">
        <f aca="false">IF(I27&gt;0,COUNTIF($I$6:$I$162,"&gt;"&amp;I27)+1,"")</f>
        <v/>
      </c>
      <c r="K27" s="9" t="str">
        <f aca="false">IF(AND(ISNUMBER(J27),J27&lt;=100),"Track","")</f>
        <v/>
      </c>
    </row>
    <row r="28" customFormat="false" ht="15" hidden="false" customHeight="false" outlineLevel="0" collapsed="false">
      <c r="A28" s="5" t="n">
        <v>23</v>
      </c>
      <c r="B28" s="5" t="s">
        <v>47</v>
      </c>
      <c r="C28" s="5" t="s">
        <v>15</v>
      </c>
      <c r="D28" s="5" t="s">
        <v>16</v>
      </c>
      <c r="E28" s="5" t="s">
        <v>48</v>
      </c>
      <c r="F28" s="6"/>
      <c r="G28" s="6"/>
      <c r="H28" s="6"/>
      <c r="I28" s="7" t="n">
        <f aca="false">IF(N(F28)&gt;0,F28*IF(H28="Yes",2,1)*IF(D28="Commercial",1.5,1)+ROW()/1000000,0)</f>
        <v>0</v>
      </c>
      <c r="J28" s="8" t="str">
        <f aca="false">IF(I28&gt;0,COUNTIF($I$6:$I$162,"&gt;"&amp;I28)+1,"")</f>
        <v/>
      </c>
      <c r="K28" s="9" t="str">
        <f aca="false">IF(AND(ISNUMBER(J28),J28&lt;=100),"Track","")</f>
        <v/>
      </c>
    </row>
    <row r="29" customFormat="false" ht="15" hidden="false" customHeight="false" outlineLevel="0" collapsed="false">
      <c r="A29" s="10" t="n">
        <v>24</v>
      </c>
      <c r="B29" s="10" t="s">
        <v>49</v>
      </c>
      <c r="C29" s="10" t="s">
        <v>15</v>
      </c>
      <c r="D29" s="10" t="s">
        <v>16</v>
      </c>
      <c r="E29" s="10" t="s">
        <v>48</v>
      </c>
      <c r="F29" s="6"/>
      <c r="G29" s="6"/>
      <c r="H29" s="6"/>
      <c r="I29" s="7" t="n">
        <f aca="false">IF(N(F29)&gt;0,F29*IF(H29="Yes",2,1)*IF(D29="Commercial",1.5,1)+ROW()/1000000,0)</f>
        <v>0</v>
      </c>
      <c r="J29" s="8" t="str">
        <f aca="false">IF(I29&gt;0,COUNTIF($I$6:$I$162,"&gt;"&amp;I29)+1,"")</f>
        <v/>
      </c>
      <c r="K29" s="9" t="str">
        <f aca="false">IF(AND(ISNUMBER(J29),J29&lt;=100),"Track","")</f>
        <v/>
      </c>
    </row>
    <row r="30" customFormat="false" ht="15" hidden="false" customHeight="false" outlineLevel="0" collapsed="false">
      <c r="A30" s="5" t="n">
        <v>25</v>
      </c>
      <c r="B30" s="5" t="s">
        <v>50</v>
      </c>
      <c r="C30" s="5" t="s">
        <v>15</v>
      </c>
      <c r="D30" s="5" t="s">
        <v>16</v>
      </c>
      <c r="E30" s="5" t="s">
        <v>22</v>
      </c>
      <c r="F30" s="6"/>
      <c r="G30" s="6"/>
      <c r="H30" s="6"/>
      <c r="I30" s="7" t="n">
        <f aca="false">IF(N(F30)&gt;0,F30*IF(H30="Yes",2,1)*IF(D30="Commercial",1.5,1)+ROW()/1000000,0)</f>
        <v>0</v>
      </c>
      <c r="J30" s="8" t="str">
        <f aca="false">IF(I30&gt;0,COUNTIF($I$6:$I$162,"&gt;"&amp;I30)+1,"")</f>
        <v/>
      </c>
      <c r="K30" s="9" t="str">
        <f aca="false">IF(AND(ISNUMBER(J30),J30&lt;=100),"Track","")</f>
        <v/>
      </c>
    </row>
    <row r="31" customFormat="false" ht="15" hidden="false" customHeight="false" outlineLevel="0" collapsed="false">
      <c r="A31" s="10" t="n">
        <v>26</v>
      </c>
      <c r="B31" s="10" t="s">
        <v>51</v>
      </c>
      <c r="C31" s="10" t="s">
        <v>15</v>
      </c>
      <c r="D31" s="10" t="s">
        <v>16</v>
      </c>
      <c r="E31" s="10" t="s">
        <v>52</v>
      </c>
      <c r="F31" s="6"/>
      <c r="G31" s="6"/>
      <c r="H31" s="6"/>
      <c r="I31" s="7" t="n">
        <f aca="false">IF(N(F31)&gt;0,F31*IF(H31="Yes",2,1)*IF(D31="Commercial",1.5,1)+ROW()/1000000,0)</f>
        <v>0</v>
      </c>
      <c r="J31" s="8" t="str">
        <f aca="false">IF(I31&gt;0,COUNTIF($I$6:$I$162,"&gt;"&amp;I31)+1,"")</f>
        <v/>
      </c>
      <c r="K31" s="9" t="str">
        <f aca="false">IF(AND(ISNUMBER(J31),J31&lt;=100),"Track","")</f>
        <v/>
      </c>
    </row>
    <row r="32" customFormat="false" ht="15" hidden="false" customHeight="false" outlineLevel="0" collapsed="false">
      <c r="A32" s="5" t="n">
        <v>27</v>
      </c>
      <c r="B32" s="5" t="s">
        <v>53</v>
      </c>
      <c r="C32" s="5" t="s">
        <v>15</v>
      </c>
      <c r="D32" s="5" t="s">
        <v>33</v>
      </c>
      <c r="E32" s="5" t="s">
        <v>54</v>
      </c>
      <c r="F32" s="6"/>
      <c r="G32" s="6"/>
      <c r="H32" s="6"/>
      <c r="I32" s="7" t="n">
        <f aca="false">IF(N(F32)&gt;0,F32*IF(H32="Yes",2,1)*IF(D32="Commercial",1.5,1)+ROW()/1000000,0)</f>
        <v>0</v>
      </c>
      <c r="J32" s="8" t="str">
        <f aca="false">IF(I32&gt;0,COUNTIF($I$6:$I$162,"&gt;"&amp;I32)+1,"")</f>
        <v/>
      </c>
      <c r="K32" s="9" t="str">
        <f aca="false">IF(AND(ISNUMBER(J32),J32&lt;=100),"Track","")</f>
        <v/>
      </c>
    </row>
    <row r="33" customFormat="false" ht="15" hidden="false" customHeight="false" outlineLevel="0" collapsed="false">
      <c r="A33" s="10" t="n">
        <v>28</v>
      </c>
      <c r="B33" s="10" t="s">
        <v>55</v>
      </c>
      <c r="C33" s="10" t="s">
        <v>15</v>
      </c>
      <c r="D33" s="10" t="s">
        <v>16</v>
      </c>
      <c r="E33" s="10" t="s">
        <v>17</v>
      </c>
      <c r="F33" s="6"/>
      <c r="G33" s="6"/>
      <c r="H33" s="6"/>
      <c r="I33" s="7" t="n">
        <f aca="false">IF(N(F33)&gt;0,F33*IF(H33="Yes",2,1)*IF(D33="Commercial",1.5,1)+ROW()/1000000,0)</f>
        <v>0</v>
      </c>
      <c r="J33" s="8" t="str">
        <f aca="false">IF(I33&gt;0,COUNTIF($I$6:$I$162,"&gt;"&amp;I33)+1,"")</f>
        <v/>
      </c>
      <c r="K33" s="9" t="str">
        <f aca="false">IF(AND(ISNUMBER(J33),J33&lt;=100),"Track","")</f>
        <v/>
      </c>
    </row>
    <row r="34" customFormat="false" ht="15" hidden="false" customHeight="false" outlineLevel="0" collapsed="false">
      <c r="A34" s="5" t="n">
        <v>29</v>
      </c>
      <c r="B34" s="5" t="s">
        <v>56</v>
      </c>
      <c r="C34" s="5" t="s">
        <v>15</v>
      </c>
      <c r="D34" s="5" t="s">
        <v>16</v>
      </c>
      <c r="E34" s="5" t="s">
        <v>17</v>
      </c>
      <c r="F34" s="6"/>
      <c r="G34" s="6"/>
      <c r="H34" s="6"/>
      <c r="I34" s="7" t="n">
        <f aca="false">IF(N(F34)&gt;0,F34*IF(H34="Yes",2,1)*IF(D34="Commercial",1.5,1)+ROW()/1000000,0)</f>
        <v>0</v>
      </c>
      <c r="J34" s="8" t="str">
        <f aca="false">IF(I34&gt;0,COUNTIF($I$6:$I$162,"&gt;"&amp;I34)+1,"")</f>
        <v/>
      </c>
      <c r="K34" s="9" t="str">
        <f aca="false">IF(AND(ISNUMBER(J34),J34&lt;=100),"Track","")</f>
        <v/>
      </c>
    </row>
    <row r="35" customFormat="false" ht="15" hidden="false" customHeight="false" outlineLevel="0" collapsed="false">
      <c r="A35" s="10" t="n">
        <v>30</v>
      </c>
      <c r="B35" s="10" t="s">
        <v>57</v>
      </c>
      <c r="C35" s="10" t="s">
        <v>15</v>
      </c>
      <c r="D35" s="10" t="s">
        <v>16</v>
      </c>
      <c r="E35" s="10" t="s">
        <v>17</v>
      </c>
      <c r="F35" s="6"/>
      <c r="G35" s="6"/>
      <c r="H35" s="6"/>
      <c r="I35" s="7" t="n">
        <f aca="false">IF(N(F35)&gt;0,F35*IF(H35="Yes",2,1)*IF(D35="Commercial",1.5,1)+ROW()/1000000,0)</f>
        <v>0</v>
      </c>
      <c r="J35" s="8" t="str">
        <f aca="false">IF(I35&gt;0,COUNTIF($I$6:$I$162,"&gt;"&amp;I35)+1,"")</f>
        <v/>
      </c>
      <c r="K35" s="9" t="str">
        <f aca="false">IF(AND(ISNUMBER(J35),J35&lt;=100),"Track","")</f>
        <v/>
      </c>
    </row>
    <row r="36" customFormat="false" ht="15" hidden="false" customHeight="false" outlineLevel="0" collapsed="false">
      <c r="A36" s="5" t="n">
        <v>31</v>
      </c>
      <c r="B36" s="5" t="s">
        <v>58</v>
      </c>
      <c r="C36" s="5" t="s">
        <v>15</v>
      </c>
      <c r="D36" s="5" t="s">
        <v>16</v>
      </c>
      <c r="E36" s="5" t="s">
        <v>29</v>
      </c>
      <c r="F36" s="6"/>
      <c r="G36" s="6"/>
      <c r="H36" s="6"/>
      <c r="I36" s="7" t="n">
        <f aca="false">IF(N(F36)&gt;0,F36*IF(H36="Yes",2,1)*IF(D36="Commercial",1.5,1)+ROW()/1000000,0)</f>
        <v>0</v>
      </c>
      <c r="J36" s="8" t="str">
        <f aca="false">IF(I36&gt;0,COUNTIF($I$6:$I$162,"&gt;"&amp;I36)+1,"")</f>
        <v/>
      </c>
      <c r="K36" s="9" t="str">
        <f aca="false">IF(AND(ISNUMBER(J36),J36&lt;=100),"Track","")</f>
        <v/>
      </c>
    </row>
    <row r="37" customFormat="false" ht="15" hidden="false" customHeight="false" outlineLevel="0" collapsed="false">
      <c r="A37" s="10" t="n">
        <v>32</v>
      </c>
      <c r="B37" s="10" t="s">
        <v>59</v>
      </c>
      <c r="C37" s="10" t="s">
        <v>15</v>
      </c>
      <c r="D37" s="10" t="s">
        <v>16</v>
      </c>
      <c r="E37" s="10" t="s">
        <v>17</v>
      </c>
      <c r="F37" s="6"/>
      <c r="G37" s="6"/>
      <c r="H37" s="6"/>
      <c r="I37" s="7" t="n">
        <f aca="false">IF(N(F37)&gt;0,F37*IF(H37="Yes",2,1)*IF(D37="Commercial",1.5,1)+ROW()/1000000,0)</f>
        <v>0</v>
      </c>
      <c r="J37" s="8" t="str">
        <f aca="false">IF(I37&gt;0,COUNTIF($I$6:$I$162,"&gt;"&amp;I37)+1,"")</f>
        <v/>
      </c>
      <c r="K37" s="9" t="str">
        <f aca="false">IF(AND(ISNUMBER(J37),J37&lt;=100),"Track","")</f>
        <v/>
      </c>
    </row>
    <row r="38" customFormat="false" ht="15" hidden="false" customHeight="false" outlineLevel="0" collapsed="false">
      <c r="A38" s="5" t="n">
        <v>33</v>
      </c>
      <c r="B38" s="5" t="s">
        <v>60</v>
      </c>
      <c r="C38" s="5" t="s">
        <v>15</v>
      </c>
      <c r="D38" s="5" t="s">
        <v>16</v>
      </c>
      <c r="E38" s="5" t="s">
        <v>61</v>
      </c>
      <c r="F38" s="6"/>
      <c r="G38" s="6"/>
      <c r="H38" s="6"/>
      <c r="I38" s="7" t="n">
        <f aca="false">IF(N(F38)&gt;0,F38*IF(H38="Yes",2,1)*IF(D38="Commercial",1.5,1)+ROW()/1000000,0)</f>
        <v>0</v>
      </c>
      <c r="J38" s="8" t="str">
        <f aca="false">IF(I38&gt;0,COUNTIF($I$6:$I$162,"&gt;"&amp;I38)+1,"")</f>
        <v/>
      </c>
      <c r="K38" s="9" t="str">
        <f aca="false">IF(AND(ISNUMBER(J38),J38&lt;=100),"Track","")</f>
        <v/>
      </c>
    </row>
    <row r="39" customFormat="false" ht="15" hidden="false" customHeight="false" outlineLevel="0" collapsed="false">
      <c r="A39" s="10" t="n">
        <v>34</v>
      </c>
      <c r="B39" s="10" t="s">
        <v>62</v>
      </c>
      <c r="C39" s="10" t="s">
        <v>15</v>
      </c>
      <c r="D39" s="10" t="s">
        <v>16</v>
      </c>
      <c r="E39" s="10" t="s">
        <v>63</v>
      </c>
      <c r="F39" s="6"/>
      <c r="G39" s="6"/>
      <c r="H39" s="6"/>
      <c r="I39" s="7" t="n">
        <f aca="false">IF(N(F39)&gt;0,F39*IF(H39="Yes",2,1)*IF(D39="Commercial",1.5,1)+ROW()/1000000,0)</f>
        <v>0</v>
      </c>
      <c r="J39" s="8" t="str">
        <f aca="false">IF(I39&gt;0,COUNTIF($I$6:$I$162,"&gt;"&amp;I39)+1,"")</f>
        <v/>
      </c>
      <c r="K39" s="9" t="str">
        <f aca="false">IF(AND(ISNUMBER(J39),J39&lt;=100),"Track","")</f>
        <v/>
      </c>
    </row>
    <row r="40" customFormat="false" ht="15" hidden="false" customHeight="false" outlineLevel="0" collapsed="false">
      <c r="A40" s="5" t="n">
        <v>35</v>
      </c>
      <c r="B40" s="5" t="s">
        <v>64</v>
      </c>
      <c r="C40" s="5" t="s">
        <v>15</v>
      </c>
      <c r="D40" s="5" t="s">
        <v>33</v>
      </c>
      <c r="E40" s="5" t="s">
        <v>29</v>
      </c>
      <c r="F40" s="6"/>
      <c r="G40" s="6"/>
      <c r="H40" s="6"/>
      <c r="I40" s="7" t="n">
        <f aca="false">IF(N(F40)&gt;0,F40*IF(H40="Yes",2,1)*IF(D40="Commercial",1.5,1)+ROW()/1000000,0)</f>
        <v>0</v>
      </c>
      <c r="J40" s="8" t="str">
        <f aca="false">IF(I40&gt;0,COUNTIF($I$6:$I$162,"&gt;"&amp;I40)+1,"")</f>
        <v/>
      </c>
      <c r="K40" s="9" t="str">
        <f aca="false">IF(AND(ISNUMBER(J40),J40&lt;=100),"Track","")</f>
        <v/>
      </c>
    </row>
    <row r="41" customFormat="false" ht="15" hidden="false" customHeight="false" outlineLevel="0" collapsed="false">
      <c r="A41" s="10" t="n">
        <v>36</v>
      </c>
      <c r="B41" s="10" t="s">
        <v>65</v>
      </c>
      <c r="C41" s="10" t="s">
        <v>15</v>
      </c>
      <c r="D41" s="10" t="s">
        <v>33</v>
      </c>
      <c r="E41" s="10" t="s">
        <v>29</v>
      </c>
      <c r="F41" s="6"/>
      <c r="G41" s="6"/>
      <c r="H41" s="6"/>
      <c r="I41" s="7" t="n">
        <f aca="false">IF(N(F41)&gt;0,F41*IF(H41="Yes",2,1)*IF(D41="Commercial",1.5,1)+ROW()/1000000,0)</f>
        <v>0</v>
      </c>
      <c r="J41" s="8" t="str">
        <f aca="false">IF(I41&gt;0,COUNTIF($I$6:$I$162,"&gt;"&amp;I41)+1,"")</f>
        <v/>
      </c>
      <c r="K41" s="9" t="str">
        <f aca="false">IF(AND(ISNUMBER(J41),J41&lt;=100),"Track","")</f>
        <v/>
      </c>
    </row>
    <row r="42" customFormat="false" ht="15" hidden="false" customHeight="false" outlineLevel="0" collapsed="false">
      <c r="A42" s="5" t="n">
        <v>37</v>
      </c>
      <c r="B42" s="5" t="s">
        <v>66</v>
      </c>
      <c r="C42" s="5" t="s">
        <v>15</v>
      </c>
      <c r="D42" s="5" t="s">
        <v>33</v>
      </c>
      <c r="E42" s="5" t="s">
        <v>29</v>
      </c>
      <c r="F42" s="6"/>
      <c r="G42" s="6"/>
      <c r="H42" s="6"/>
      <c r="I42" s="7" t="n">
        <f aca="false">IF(N(F42)&gt;0,F42*IF(H42="Yes",2,1)*IF(D42="Commercial",1.5,1)+ROW()/1000000,0)</f>
        <v>0</v>
      </c>
      <c r="J42" s="8" t="str">
        <f aca="false">IF(I42&gt;0,COUNTIF($I$6:$I$162,"&gt;"&amp;I42)+1,"")</f>
        <v/>
      </c>
      <c r="K42" s="9" t="str">
        <f aca="false">IF(AND(ISNUMBER(J42),J42&lt;=100),"Track","")</f>
        <v/>
      </c>
    </row>
    <row r="43" customFormat="false" ht="15" hidden="false" customHeight="false" outlineLevel="0" collapsed="false">
      <c r="A43" s="10" t="n">
        <v>38</v>
      </c>
      <c r="B43" s="10" t="s">
        <v>67</v>
      </c>
      <c r="C43" s="10" t="s">
        <v>15</v>
      </c>
      <c r="D43" s="10" t="s">
        <v>33</v>
      </c>
      <c r="E43" s="10" t="s">
        <v>29</v>
      </c>
      <c r="F43" s="6"/>
      <c r="G43" s="6"/>
      <c r="H43" s="6"/>
      <c r="I43" s="7" t="n">
        <f aca="false">IF(N(F43)&gt;0,F43*IF(H43="Yes",2,1)*IF(D43="Commercial",1.5,1)+ROW()/1000000,0)</f>
        <v>0</v>
      </c>
      <c r="J43" s="8" t="str">
        <f aca="false">IF(I43&gt;0,COUNTIF($I$6:$I$162,"&gt;"&amp;I43)+1,"")</f>
        <v/>
      </c>
      <c r="K43" s="9" t="str">
        <f aca="false">IF(AND(ISNUMBER(J43),J43&lt;=100),"Track","")</f>
        <v/>
      </c>
    </row>
    <row r="44" customFormat="false" ht="15" hidden="false" customHeight="false" outlineLevel="0" collapsed="false">
      <c r="A44" s="5" t="n">
        <v>39</v>
      </c>
      <c r="B44" s="5" t="s">
        <v>68</v>
      </c>
      <c r="C44" s="5" t="s">
        <v>15</v>
      </c>
      <c r="D44" s="5" t="s">
        <v>33</v>
      </c>
      <c r="E44" s="5" t="s">
        <v>69</v>
      </c>
      <c r="F44" s="6"/>
      <c r="G44" s="6"/>
      <c r="H44" s="6"/>
      <c r="I44" s="7" t="n">
        <f aca="false">IF(N(F44)&gt;0,F44*IF(H44="Yes",2,1)*IF(D44="Commercial",1.5,1)+ROW()/1000000,0)</f>
        <v>0</v>
      </c>
      <c r="J44" s="8" t="str">
        <f aca="false">IF(I44&gt;0,COUNTIF($I$6:$I$162,"&gt;"&amp;I44)+1,"")</f>
        <v/>
      </c>
      <c r="K44" s="9" t="str">
        <f aca="false">IF(AND(ISNUMBER(J44),J44&lt;=100),"Track","")</f>
        <v/>
      </c>
    </row>
    <row r="45" customFormat="false" ht="15" hidden="false" customHeight="false" outlineLevel="0" collapsed="false">
      <c r="A45" s="10" t="n">
        <v>40</v>
      </c>
      <c r="B45" s="10" t="s">
        <v>70</v>
      </c>
      <c r="C45" s="10" t="s">
        <v>15</v>
      </c>
      <c r="D45" s="10" t="s">
        <v>33</v>
      </c>
      <c r="E45" s="10" t="s">
        <v>71</v>
      </c>
      <c r="F45" s="6"/>
      <c r="G45" s="6"/>
      <c r="H45" s="6"/>
      <c r="I45" s="7" t="n">
        <f aca="false">IF(N(F45)&gt;0,F45*IF(H45="Yes",2,1)*IF(D45="Commercial",1.5,1)+ROW()/1000000,0)</f>
        <v>0</v>
      </c>
      <c r="J45" s="8" t="str">
        <f aca="false">IF(I45&gt;0,COUNTIF($I$6:$I$162,"&gt;"&amp;I45)+1,"")</f>
        <v/>
      </c>
      <c r="K45" s="9" t="str">
        <f aca="false">IF(AND(ISNUMBER(J45),J45&lt;=100),"Track","")</f>
        <v/>
      </c>
    </row>
    <row r="46" customFormat="false" ht="15" hidden="false" customHeight="false" outlineLevel="0" collapsed="false">
      <c r="A46" s="5" t="n">
        <v>41</v>
      </c>
      <c r="B46" s="5" t="s">
        <v>72</v>
      </c>
      <c r="C46" s="5" t="s">
        <v>73</v>
      </c>
      <c r="D46" s="5" t="s">
        <v>16</v>
      </c>
      <c r="E46" s="5" t="s">
        <v>74</v>
      </c>
      <c r="F46" s="6"/>
      <c r="G46" s="6"/>
      <c r="H46" s="6"/>
      <c r="I46" s="7" t="n">
        <f aca="false">IF(N(F46)&gt;0,F46*IF(H46="Yes",2,1)*IF(D46="Commercial",1.5,1)+ROW()/1000000,0)</f>
        <v>0</v>
      </c>
      <c r="J46" s="8" t="str">
        <f aca="false">IF(I46&gt;0,COUNTIF($I$6:$I$162,"&gt;"&amp;I46)+1,"")</f>
        <v/>
      </c>
      <c r="K46" s="9" t="str">
        <f aca="false">IF(AND(ISNUMBER(J46),J46&lt;=100),"Track","")</f>
        <v/>
      </c>
    </row>
    <row r="47" customFormat="false" ht="15" hidden="false" customHeight="false" outlineLevel="0" collapsed="false">
      <c r="A47" s="10" t="n">
        <v>42</v>
      </c>
      <c r="B47" s="10" t="s">
        <v>75</v>
      </c>
      <c r="C47" s="10" t="s">
        <v>73</v>
      </c>
      <c r="D47" s="10" t="s">
        <v>16</v>
      </c>
      <c r="E47" s="10" t="s">
        <v>76</v>
      </c>
      <c r="F47" s="6"/>
      <c r="G47" s="6"/>
      <c r="H47" s="6"/>
      <c r="I47" s="7" t="n">
        <f aca="false">IF(N(F47)&gt;0,F47*IF(H47="Yes",2,1)*IF(D47="Commercial",1.5,1)+ROW()/1000000,0)</f>
        <v>0</v>
      </c>
      <c r="J47" s="8" t="str">
        <f aca="false">IF(I47&gt;0,COUNTIF($I$6:$I$162,"&gt;"&amp;I47)+1,"")</f>
        <v/>
      </c>
      <c r="K47" s="9" t="str">
        <f aca="false">IF(AND(ISNUMBER(J47),J47&lt;=100),"Track","")</f>
        <v/>
      </c>
    </row>
    <row r="48" customFormat="false" ht="15" hidden="false" customHeight="false" outlineLevel="0" collapsed="false">
      <c r="A48" s="5" t="n">
        <v>43</v>
      </c>
      <c r="B48" s="5" t="s">
        <v>77</v>
      </c>
      <c r="C48" s="5" t="s">
        <v>73</v>
      </c>
      <c r="D48" s="5" t="s">
        <v>16</v>
      </c>
      <c r="E48" s="5" t="s">
        <v>76</v>
      </c>
      <c r="F48" s="6"/>
      <c r="G48" s="6"/>
      <c r="H48" s="6"/>
      <c r="I48" s="7" t="n">
        <f aca="false">IF(N(F48)&gt;0,F48*IF(H48="Yes",2,1)*IF(D48="Commercial",1.5,1)+ROW()/1000000,0)</f>
        <v>0</v>
      </c>
      <c r="J48" s="8" t="str">
        <f aca="false">IF(I48&gt;0,COUNTIF($I$6:$I$162,"&gt;"&amp;I48)+1,"")</f>
        <v/>
      </c>
      <c r="K48" s="9" t="str">
        <f aca="false">IF(AND(ISNUMBER(J48),J48&lt;=100),"Track","")</f>
        <v/>
      </c>
    </row>
    <row r="49" customFormat="false" ht="15" hidden="false" customHeight="false" outlineLevel="0" collapsed="false">
      <c r="A49" s="10" t="n">
        <v>44</v>
      </c>
      <c r="B49" s="10" t="s">
        <v>78</v>
      </c>
      <c r="C49" s="10" t="s">
        <v>73</v>
      </c>
      <c r="D49" s="10" t="s">
        <v>16</v>
      </c>
      <c r="E49" s="10" t="s">
        <v>79</v>
      </c>
      <c r="F49" s="6"/>
      <c r="G49" s="6"/>
      <c r="H49" s="6"/>
      <c r="I49" s="7" t="n">
        <f aca="false">IF(N(F49)&gt;0,F49*IF(H49="Yes",2,1)*IF(D49="Commercial",1.5,1)+ROW()/1000000,0)</f>
        <v>0</v>
      </c>
      <c r="J49" s="8" t="str">
        <f aca="false">IF(I49&gt;0,COUNTIF($I$6:$I$162,"&gt;"&amp;I49)+1,"")</f>
        <v/>
      </c>
      <c r="K49" s="9" t="str">
        <f aca="false">IF(AND(ISNUMBER(J49),J49&lt;=100),"Track","")</f>
        <v/>
      </c>
    </row>
    <row r="50" customFormat="false" ht="15" hidden="false" customHeight="false" outlineLevel="0" collapsed="false">
      <c r="A50" s="5" t="n">
        <v>45</v>
      </c>
      <c r="B50" s="5" t="s">
        <v>80</v>
      </c>
      <c r="C50" s="5" t="s">
        <v>73</v>
      </c>
      <c r="D50" s="5" t="s">
        <v>16</v>
      </c>
      <c r="E50" s="5" t="s">
        <v>81</v>
      </c>
      <c r="F50" s="6"/>
      <c r="G50" s="6"/>
      <c r="H50" s="6"/>
      <c r="I50" s="7" t="n">
        <f aca="false">IF(N(F50)&gt;0,F50*IF(H50="Yes",2,1)*IF(D50="Commercial",1.5,1)+ROW()/1000000,0)</f>
        <v>0</v>
      </c>
      <c r="J50" s="8" t="str">
        <f aca="false">IF(I50&gt;0,COUNTIF($I$6:$I$162,"&gt;"&amp;I50)+1,"")</f>
        <v/>
      </c>
      <c r="K50" s="9" t="str">
        <f aca="false">IF(AND(ISNUMBER(J50),J50&lt;=100),"Track","")</f>
        <v/>
      </c>
    </row>
    <row r="51" customFormat="false" ht="15" hidden="false" customHeight="false" outlineLevel="0" collapsed="false">
      <c r="A51" s="10" t="n">
        <v>46</v>
      </c>
      <c r="B51" s="10" t="s">
        <v>82</v>
      </c>
      <c r="C51" s="10" t="s">
        <v>73</v>
      </c>
      <c r="D51" s="10" t="s">
        <v>16</v>
      </c>
      <c r="E51" s="10" t="s">
        <v>81</v>
      </c>
      <c r="F51" s="6"/>
      <c r="G51" s="6"/>
      <c r="H51" s="6"/>
      <c r="I51" s="7" t="n">
        <f aca="false">IF(N(F51)&gt;0,F51*IF(H51="Yes",2,1)*IF(D51="Commercial",1.5,1)+ROW()/1000000,0)</f>
        <v>0</v>
      </c>
      <c r="J51" s="8" t="str">
        <f aca="false">IF(I51&gt;0,COUNTIF($I$6:$I$162,"&gt;"&amp;I51)+1,"")</f>
        <v/>
      </c>
      <c r="K51" s="9" t="str">
        <f aca="false">IF(AND(ISNUMBER(J51),J51&lt;=100),"Track","")</f>
        <v/>
      </c>
    </row>
    <row r="52" customFormat="false" ht="15" hidden="false" customHeight="false" outlineLevel="0" collapsed="false">
      <c r="A52" s="5" t="n">
        <v>47</v>
      </c>
      <c r="B52" s="5" t="s">
        <v>83</v>
      </c>
      <c r="C52" s="5" t="s">
        <v>73</v>
      </c>
      <c r="D52" s="5" t="s">
        <v>16</v>
      </c>
      <c r="E52" s="5" t="s">
        <v>84</v>
      </c>
      <c r="F52" s="6"/>
      <c r="G52" s="6"/>
      <c r="H52" s="6"/>
      <c r="I52" s="7" t="n">
        <f aca="false">IF(N(F52)&gt;0,F52*IF(H52="Yes",2,1)*IF(D52="Commercial",1.5,1)+ROW()/1000000,0)</f>
        <v>0</v>
      </c>
      <c r="J52" s="8" t="str">
        <f aca="false">IF(I52&gt;0,COUNTIF($I$6:$I$162,"&gt;"&amp;I52)+1,"")</f>
        <v/>
      </c>
      <c r="K52" s="9" t="str">
        <f aca="false">IF(AND(ISNUMBER(J52),J52&lt;=100),"Track","")</f>
        <v/>
      </c>
    </row>
    <row r="53" customFormat="false" ht="15" hidden="false" customHeight="false" outlineLevel="0" collapsed="false">
      <c r="A53" s="10" t="n">
        <v>48</v>
      </c>
      <c r="B53" s="10" t="s">
        <v>85</v>
      </c>
      <c r="C53" s="10" t="s">
        <v>73</v>
      </c>
      <c r="D53" s="10" t="s">
        <v>16</v>
      </c>
      <c r="E53" s="10" t="s">
        <v>86</v>
      </c>
      <c r="F53" s="6"/>
      <c r="G53" s="6"/>
      <c r="H53" s="6"/>
      <c r="I53" s="7" t="n">
        <f aca="false">IF(N(F53)&gt;0,F53*IF(H53="Yes",2,1)*IF(D53="Commercial",1.5,1)+ROW()/1000000,0)</f>
        <v>0</v>
      </c>
      <c r="J53" s="8" t="str">
        <f aca="false">IF(I53&gt;0,COUNTIF($I$6:$I$162,"&gt;"&amp;I53)+1,"")</f>
        <v/>
      </c>
      <c r="K53" s="9" t="str">
        <f aca="false">IF(AND(ISNUMBER(J53),J53&lt;=100),"Track","")</f>
        <v/>
      </c>
    </row>
    <row r="54" customFormat="false" ht="15" hidden="false" customHeight="false" outlineLevel="0" collapsed="false">
      <c r="A54" s="5" t="n">
        <v>49</v>
      </c>
      <c r="B54" s="5" t="s">
        <v>87</v>
      </c>
      <c r="C54" s="5" t="s">
        <v>73</v>
      </c>
      <c r="D54" s="5" t="s">
        <v>33</v>
      </c>
      <c r="E54" s="5" t="s">
        <v>88</v>
      </c>
      <c r="F54" s="6"/>
      <c r="G54" s="6"/>
      <c r="H54" s="6"/>
      <c r="I54" s="7" t="n">
        <f aca="false">IF(N(F54)&gt;0,F54*IF(H54="Yes",2,1)*IF(D54="Commercial",1.5,1)+ROW()/1000000,0)</f>
        <v>0</v>
      </c>
      <c r="J54" s="8" t="str">
        <f aca="false">IF(I54&gt;0,COUNTIF($I$6:$I$162,"&gt;"&amp;I54)+1,"")</f>
        <v/>
      </c>
      <c r="K54" s="9" t="str">
        <f aca="false">IF(AND(ISNUMBER(J54),J54&lt;=100),"Track","")</f>
        <v/>
      </c>
    </row>
    <row r="55" customFormat="false" ht="15" hidden="false" customHeight="false" outlineLevel="0" collapsed="false">
      <c r="A55" s="10" t="n">
        <v>50</v>
      </c>
      <c r="B55" s="10" t="s">
        <v>89</v>
      </c>
      <c r="C55" s="10" t="s">
        <v>73</v>
      </c>
      <c r="D55" s="10" t="s">
        <v>33</v>
      </c>
      <c r="E55" s="10" t="s">
        <v>88</v>
      </c>
      <c r="F55" s="6"/>
      <c r="G55" s="6"/>
      <c r="H55" s="6"/>
      <c r="I55" s="7" t="n">
        <f aca="false">IF(N(F55)&gt;0,F55*IF(H55="Yes",2,1)*IF(D55="Commercial",1.5,1)+ROW()/1000000,0)</f>
        <v>0</v>
      </c>
      <c r="J55" s="8" t="str">
        <f aca="false">IF(I55&gt;0,COUNTIF($I$6:$I$162,"&gt;"&amp;I55)+1,"")</f>
        <v/>
      </c>
      <c r="K55" s="9" t="str">
        <f aca="false">IF(AND(ISNUMBER(J55),J55&lt;=100),"Track","")</f>
        <v/>
      </c>
    </row>
    <row r="56" customFormat="false" ht="15" hidden="false" customHeight="false" outlineLevel="0" collapsed="false">
      <c r="A56" s="5" t="n">
        <v>51</v>
      </c>
      <c r="B56" s="5" t="s">
        <v>90</v>
      </c>
      <c r="C56" s="5" t="s">
        <v>73</v>
      </c>
      <c r="D56" s="5" t="s">
        <v>33</v>
      </c>
      <c r="E56" s="5" t="s">
        <v>91</v>
      </c>
      <c r="F56" s="6"/>
      <c r="G56" s="6"/>
      <c r="H56" s="6"/>
      <c r="I56" s="7" t="n">
        <f aca="false">IF(N(F56)&gt;0,F56*IF(H56="Yes",2,1)*IF(D56="Commercial",1.5,1)+ROW()/1000000,0)</f>
        <v>0</v>
      </c>
      <c r="J56" s="8" t="str">
        <f aca="false">IF(I56&gt;0,COUNTIF($I$6:$I$162,"&gt;"&amp;I56)+1,"")</f>
        <v/>
      </c>
      <c r="K56" s="9" t="str">
        <f aca="false">IF(AND(ISNUMBER(J56),J56&lt;=100),"Track","")</f>
        <v/>
      </c>
    </row>
    <row r="57" customFormat="false" ht="15" hidden="false" customHeight="false" outlineLevel="0" collapsed="false">
      <c r="A57" s="10" t="n">
        <v>52</v>
      </c>
      <c r="B57" s="10" t="s">
        <v>92</v>
      </c>
      <c r="C57" s="10" t="s">
        <v>73</v>
      </c>
      <c r="D57" s="10" t="s">
        <v>33</v>
      </c>
      <c r="E57" s="10" t="s">
        <v>91</v>
      </c>
      <c r="F57" s="6"/>
      <c r="G57" s="6"/>
      <c r="H57" s="6"/>
      <c r="I57" s="7" t="n">
        <f aca="false">IF(N(F57)&gt;0,F57*IF(H57="Yes",2,1)*IF(D57="Commercial",1.5,1)+ROW()/1000000,0)</f>
        <v>0</v>
      </c>
      <c r="J57" s="8" t="str">
        <f aca="false">IF(I57&gt;0,COUNTIF($I$6:$I$162,"&gt;"&amp;I57)+1,"")</f>
        <v/>
      </c>
      <c r="K57" s="9" t="str">
        <f aca="false">IF(AND(ISNUMBER(J57),J57&lt;=100),"Track","")</f>
        <v/>
      </c>
    </row>
    <row r="58" customFormat="false" ht="15" hidden="false" customHeight="false" outlineLevel="0" collapsed="false">
      <c r="A58" s="5" t="n">
        <v>53</v>
      </c>
      <c r="B58" s="5" t="s">
        <v>93</v>
      </c>
      <c r="C58" s="5" t="s">
        <v>73</v>
      </c>
      <c r="D58" s="5" t="s">
        <v>33</v>
      </c>
      <c r="E58" s="5" t="s">
        <v>91</v>
      </c>
      <c r="F58" s="6"/>
      <c r="G58" s="6"/>
      <c r="H58" s="6"/>
      <c r="I58" s="7" t="n">
        <f aca="false">IF(N(F58)&gt;0,F58*IF(H58="Yes",2,1)*IF(D58="Commercial",1.5,1)+ROW()/1000000,0)</f>
        <v>0</v>
      </c>
      <c r="J58" s="8" t="str">
        <f aca="false">IF(I58&gt;0,COUNTIF($I$6:$I$162,"&gt;"&amp;I58)+1,"")</f>
        <v/>
      </c>
      <c r="K58" s="9" t="str">
        <f aca="false">IF(AND(ISNUMBER(J58),J58&lt;=100),"Track","")</f>
        <v/>
      </c>
    </row>
    <row r="59" customFormat="false" ht="15" hidden="false" customHeight="false" outlineLevel="0" collapsed="false">
      <c r="A59" s="10" t="n">
        <v>54</v>
      </c>
      <c r="B59" s="10" t="s">
        <v>94</v>
      </c>
      <c r="C59" s="10" t="s">
        <v>73</v>
      </c>
      <c r="D59" s="10" t="s">
        <v>16</v>
      </c>
      <c r="E59" s="10" t="s">
        <v>76</v>
      </c>
      <c r="F59" s="6"/>
      <c r="G59" s="6"/>
      <c r="H59" s="6"/>
      <c r="I59" s="7" t="n">
        <f aca="false">IF(N(F59)&gt;0,F59*IF(H59="Yes",2,1)*IF(D59="Commercial",1.5,1)+ROW()/1000000,0)</f>
        <v>0</v>
      </c>
      <c r="J59" s="8" t="str">
        <f aca="false">IF(I59&gt;0,COUNTIF($I$6:$I$162,"&gt;"&amp;I59)+1,"")</f>
        <v/>
      </c>
      <c r="K59" s="9" t="str">
        <f aca="false">IF(AND(ISNUMBER(J59),J59&lt;=100),"Track","")</f>
        <v/>
      </c>
    </row>
    <row r="60" customFormat="false" ht="15" hidden="false" customHeight="false" outlineLevel="0" collapsed="false">
      <c r="A60" s="5" t="n">
        <v>55</v>
      </c>
      <c r="B60" s="5" t="s">
        <v>95</v>
      </c>
      <c r="C60" s="5" t="s">
        <v>73</v>
      </c>
      <c r="D60" s="5" t="s">
        <v>16</v>
      </c>
      <c r="E60" s="5" t="s">
        <v>76</v>
      </c>
      <c r="F60" s="6"/>
      <c r="G60" s="6"/>
      <c r="H60" s="6"/>
      <c r="I60" s="7" t="n">
        <f aca="false">IF(N(F60)&gt;0,F60*IF(H60="Yes",2,1)*IF(D60="Commercial",1.5,1)+ROW()/1000000,0)</f>
        <v>0</v>
      </c>
      <c r="J60" s="8" t="str">
        <f aca="false">IF(I60&gt;0,COUNTIF($I$6:$I$162,"&gt;"&amp;I60)+1,"")</f>
        <v/>
      </c>
      <c r="K60" s="9" t="str">
        <f aca="false">IF(AND(ISNUMBER(J60),J60&lt;=100),"Track","")</f>
        <v/>
      </c>
    </row>
    <row r="61" customFormat="false" ht="15" hidden="false" customHeight="false" outlineLevel="0" collapsed="false">
      <c r="A61" s="10" t="n">
        <v>56</v>
      </c>
      <c r="B61" s="10" t="s">
        <v>96</v>
      </c>
      <c r="C61" s="10" t="s">
        <v>73</v>
      </c>
      <c r="D61" s="10" t="s">
        <v>16</v>
      </c>
      <c r="E61" s="10" t="s">
        <v>97</v>
      </c>
      <c r="F61" s="6"/>
      <c r="G61" s="6"/>
      <c r="H61" s="6"/>
      <c r="I61" s="7" t="n">
        <f aca="false">IF(N(F61)&gt;0,F61*IF(H61="Yes",2,1)*IF(D61="Commercial",1.5,1)+ROW()/1000000,0)</f>
        <v>0</v>
      </c>
      <c r="J61" s="8" t="str">
        <f aca="false">IF(I61&gt;0,COUNTIF($I$6:$I$162,"&gt;"&amp;I61)+1,"")</f>
        <v/>
      </c>
      <c r="K61" s="9" t="str">
        <f aca="false">IF(AND(ISNUMBER(J61),J61&lt;=100),"Track","")</f>
        <v/>
      </c>
    </row>
    <row r="62" customFormat="false" ht="15" hidden="false" customHeight="false" outlineLevel="0" collapsed="false">
      <c r="A62" s="5" t="n">
        <v>57</v>
      </c>
      <c r="B62" s="5" t="s">
        <v>98</v>
      </c>
      <c r="C62" s="5" t="s">
        <v>73</v>
      </c>
      <c r="D62" s="5" t="s">
        <v>16</v>
      </c>
      <c r="E62" s="5" t="s">
        <v>97</v>
      </c>
      <c r="F62" s="6"/>
      <c r="G62" s="6"/>
      <c r="H62" s="6"/>
      <c r="I62" s="7" t="n">
        <f aca="false">IF(N(F62)&gt;0,F62*IF(H62="Yes",2,1)*IF(D62="Commercial",1.5,1)+ROW()/1000000,0)</f>
        <v>0</v>
      </c>
      <c r="J62" s="8" t="str">
        <f aca="false">IF(I62&gt;0,COUNTIF($I$6:$I$162,"&gt;"&amp;I62)+1,"")</f>
        <v/>
      </c>
      <c r="K62" s="9" t="str">
        <f aca="false">IF(AND(ISNUMBER(J62),J62&lt;=100),"Track","")</f>
        <v/>
      </c>
    </row>
    <row r="63" customFormat="false" ht="15" hidden="false" customHeight="false" outlineLevel="0" collapsed="false">
      <c r="A63" s="10" t="n">
        <v>58</v>
      </c>
      <c r="B63" s="10" t="s">
        <v>99</v>
      </c>
      <c r="C63" s="10" t="s">
        <v>73</v>
      </c>
      <c r="D63" s="10" t="s">
        <v>16</v>
      </c>
      <c r="E63" s="10" t="s">
        <v>97</v>
      </c>
      <c r="F63" s="6"/>
      <c r="G63" s="6"/>
      <c r="H63" s="6"/>
      <c r="I63" s="7" t="n">
        <f aca="false">IF(N(F63)&gt;0,F63*IF(H63="Yes",2,1)*IF(D63="Commercial",1.5,1)+ROW()/1000000,0)</f>
        <v>0</v>
      </c>
      <c r="J63" s="8" t="str">
        <f aca="false">IF(I63&gt;0,COUNTIF($I$6:$I$162,"&gt;"&amp;I63)+1,"")</f>
        <v/>
      </c>
      <c r="K63" s="9" t="str">
        <f aca="false">IF(AND(ISNUMBER(J63),J63&lt;=100),"Track","")</f>
        <v/>
      </c>
    </row>
    <row r="64" customFormat="false" ht="15" hidden="false" customHeight="false" outlineLevel="0" collapsed="false">
      <c r="A64" s="5" t="n">
        <v>59</v>
      </c>
      <c r="B64" s="5" t="s">
        <v>100</v>
      </c>
      <c r="C64" s="5" t="s">
        <v>73</v>
      </c>
      <c r="D64" s="5" t="s">
        <v>16</v>
      </c>
      <c r="E64" s="5" t="s">
        <v>101</v>
      </c>
      <c r="F64" s="6"/>
      <c r="G64" s="6"/>
      <c r="H64" s="6"/>
      <c r="I64" s="7" t="n">
        <f aca="false">IF(N(F64)&gt;0,F64*IF(H64="Yes",2,1)*IF(D64="Commercial",1.5,1)+ROW()/1000000,0)</f>
        <v>0</v>
      </c>
      <c r="J64" s="8" t="str">
        <f aca="false">IF(I64&gt;0,COUNTIF($I$6:$I$162,"&gt;"&amp;I64)+1,"")</f>
        <v/>
      </c>
      <c r="K64" s="9" t="str">
        <f aca="false">IF(AND(ISNUMBER(J64),J64&lt;=100),"Track","")</f>
        <v/>
      </c>
    </row>
    <row r="65" customFormat="false" ht="15" hidden="false" customHeight="false" outlineLevel="0" collapsed="false">
      <c r="A65" s="10" t="n">
        <v>60</v>
      </c>
      <c r="B65" s="10" t="s">
        <v>102</v>
      </c>
      <c r="C65" s="10" t="s">
        <v>73</v>
      </c>
      <c r="D65" s="10" t="s">
        <v>16</v>
      </c>
      <c r="E65" s="10" t="s">
        <v>101</v>
      </c>
      <c r="F65" s="6"/>
      <c r="G65" s="6"/>
      <c r="H65" s="6"/>
      <c r="I65" s="7" t="n">
        <f aca="false">IF(N(F65)&gt;0,F65*IF(H65="Yes",2,1)*IF(D65="Commercial",1.5,1)+ROW()/1000000,0)</f>
        <v>0</v>
      </c>
      <c r="J65" s="8" t="str">
        <f aca="false">IF(I65&gt;0,COUNTIF($I$6:$I$162,"&gt;"&amp;I65)+1,"")</f>
        <v/>
      </c>
      <c r="K65" s="9" t="str">
        <f aca="false">IF(AND(ISNUMBER(J65),J65&lt;=100),"Track","")</f>
        <v/>
      </c>
    </row>
    <row r="66" customFormat="false" ht="15" hidden="false" customHeight="false" outlineLevel="0" collapsed="false">
      <c r="A66" s="5" t="n">
        <v>61</v>
      </c>
      <c r="B66" s="5" t="s">
        <v>103</v>
      </c>
      <c r="C66" s="5" t="s">
        <v>104</v>
      </c>
      <c r="D66" s="5" t="s">
        <v>16</v>
      </c>
      <c r="E66" s="5" t="s">
        <v>105</v>
      </c>
      <c r="F66" s="6"/>
      <c r="G66" s="6"/>
      <c r="H66" s="6"/>
      <c r="I66" s="7" t="n">
        <f aca="false">IF(N(F66)&gt;0,F66*IF(H66="Yes",2,1)*IF(D66="Commercial",1.5,1)+ROW()/1000000,0)</f>
        <v>0</v>
      </c>
      <c r="J66" s="8" t="str">
        <f aca="false">IF(I66&gt;0,COUNTIF($I$6:$I$162,"&gt;"&amp;I66)+1,"")</f>
        <v/>
      </c>
      <c r="K66" s="9" t="str">
        <f aca="false">IF(AND(ISNUMBER(J66),J66&lt;=100),"Track","")</f>
        <v/>
      </c>
    </row>
    <row r="67" customFormat="false" ht="15" hidden="false" customHeight="false" outlineLevel="0" collapsed="false">
      <c r="A67" s="10" t="n">
        <v>62</v>
      </c>
      <c r="B67" s="10" t="s">
        <v>106</v>
      </c>
      <c r="C67" s="10" t="s">
        <v>104</v>
      </c>
      <c r="D67" s="10" t="s">
        <v>16</v>
      </c>
      <c r="E67" s="10" t="s">
        <v>105</v>
      </c>
      <c r="F67" s="6"/>
      <c r="G67" s="6"/>
      <c r="H67" s="6"/>
      <c r="I67" s="7" t="n">
        <f aca="false">IF(N(F67)&gt;0,F67*IF(H67="Yes",2,1)*IF(D67="Commercial",1.5,1)+ROW()/1000000,0)</f>
        <v>0</v>
      </c>
      <c r="J67" s="8" t="str">
        <f aca="false">IF(I67&gt;0,COUNTIF($I$6:$I$162,"&gt;"&amp;I67)+1,"")</f>
        <v/>
      </c>
      <c r="K67" s="9" t="str">
        <f aca="false">IF(AND(ISNUMBER(J67),J67&lt;=100),"Track","")</f>
        <v/>
      </c>
    </row>
    <row r="68" customFormat="false" ht="15" hidden="false" customHeight="false" outlineLevel="0" collapsed="false">
      <c r="A68" s="5" t="n">
        <v>63</v>
      </c>
      <c r="B68" s="5" t="s">
        <v>107</v>
      </c>
      <c r="C68" s="5" t="s">
        <v>104</v>
      </c>
      <c r="D68" s="5" t="s">
        <v>16</v>
      </c>
      <c r="E68" s="5" t="s">
        <v>105</v>
      </c>
      <c r="F68" s="6"/>
      <c r="G68" s="6"/>
      <c r="H68" s="6"/>
      <c r="I68" s="7" t="n">
        <f aca="false">IF(N(F68)&gt;0,F68*IF(H68="Yes",2,1)*IF(D68="Commercial",1.5,1)+ROW()/1000000,0)</f>
        <v>0</v>
      </c>
      <c r="J68" s="8" t="str">
        <f aca="false">IF(I68&gt;0,COUNTIF($I$6:$I$162,"&gt;"&amp;I68)+1,"")</f>
        <v/>
      </c>
      <c r="K68" s="9" t="str">
        <f aca="false">IF(AND(ISNUMBER(J68),J68&lt;=100),"Track","")</f>
        <v/>
      </c>
    </row>
    <row r="69" customFormat="false" ht="15" hidden="false" customHeight="false" outlineLevel="0" collapsed="false">
      <c r="A69" s="10" t="n">
        <v>64</v>
      </c>
      <c r="B69" s="10" t="s">
        <v>108</v>
      </c>
      <c r="C69" s="10" t="s">
        <v>104</v>
      </c>
      <c r="D69" s="10" t="s">
        <v>16</v>
      </c>
      <c r="E69" s="10" t="s">
        <v>109</v>
      </c>
      <c r="F69" s="6"/>
      <c r="G69" s="6"/>
      <c r="H69" s="6"/>
      <c r="I69" s="7" t="n">
        <f aca="false">IF(N(F69)&gt;0,F69*IF(H69="Yes",2,1)*IF(D69="Commercial",1.5,1)+ROW()/1000000,0)</f>
        <v>0</v>
      </c>
      <c r="J69" s="8" t="str">
        <f aca="false">IF(I69&gt;0,COUNTIF($I$6:$I$162,"&gt;"&amp;I69)+1,"")</f>
        <v/>
      </c>
      <c r="K69" s="9" t="str">
        <f aca="false">IF(AND(ISNUMBER(J69),J69&lt;=100),"Track","")</f>
        <v/>
      </c>
    </row>
    <row r="70" customFormat="false" ht="15" hidden="false" customHeight="false" outlineLevel="0" collapsed="false">
      <c r="A70" s="5" t="n">
        <v>65</v>
      </c>
      <c r="B70" s="5" t="s">
        <v>110</v>
      </c>
      <c r="C70" s="5" t="s">
        <v>104</v>
      </c>
      <c r="D70" s="5" t="s">
        <v>16</v>
      </c>
      <c r="E70" s="5" t="s">
        <v>109</v>
      </c>
      <c r="F70" s="6"/>
      <c r="G70" s="6"/>
      <c r="H70" s="6"/>
      <c r="I70" s="7" t="n">
        <f aca="false">IF(N(F70)&gt;0,F70*IF(H70="Yes",2,1)*IF(D70="Commercial",1.5,1)+ROW()/1000000,0)</f>
        <v>0</v>
      </c>
      <c r="J70" s="8" t="str">
        <f aca="false">IF(I70&gt;0,COUNTIF($I$6:$I$162,"&gt;"&amp;I70)+1,"")</f>
        <v/>
      </c>
      <c r="K70" s="9" t="str">
        <f aca="false">IF(AND(ISNUMBER(J70),J70&lt;=100),"Track","")</f>
        <v/>
      </c>
    </row>
    <row r="71" customFormat="false" ht="15" hidden="false" customHeight="false" outlineLevel="0" collapsed="false">
      <c r="A71" s="10" t="n">
        <v>66</v>
      </c>
      <c r="B71" s="10" t="s">
        <v>111</v>
      </c>
      <c r="C71" s="10" t="s">
        <v>104</v>
      </c>
      <c r="D71" s="10" t="s">
        <v>33</v>
      </c>
      <c r="E71" s="10" t="s">
        <v>112</v>
      </c>
      <c r="F71" s="6"/>
      <c r="G71" s="6"/>
      <c r="H71" s="6"/>
      <c r="I71" s="7" t="n">
        <f aca="false">IF(N(F71)&gt;0,F71*IF(H71="Yes",2,1)*IF(D71="Commercial",1.5,1)+ROW()/1000000,0)</f>
        <v>0</v>
      </c>
      <c r="J71" s="8" t="str">
        <f aca="false">IF(I71&gt;0,COUNTIF($I$6:$I$162,"&gt;"&amp;I71)+1,"")</f>
        <v/>
      </c>
      <c r="K71" s="9" t="str">
        <f aca="false">IF(AND(ISNUMBER(J71),J71&lt;=100),"Track","")</f>
        <v/>
      </c>
    </row>
    <row r="72" customFormat="false" ht="15" hidden="false" customHeight="false" outlineLevel="0" collapsed="false">
      <c r="A72" s="5" t="n">
        <v>67</v>
      </c>
      <c r="B72" s="5" t="s">
        <v>113</v>
      </c>
      <c r="C72" s="5" t="s">
        <v>104</v>
      </c>
      <c r="D72" s="5" t="s">
        <v>33</v>
      </c>
      <c r="E72" s="5" t="s">
        <v>114</v>
      </c>
      <c r="F72" s="6"/>
      <c r="G72" s="6"/>
      <c r="H72" s="6"/>
      <c r="I72" s="7" t="n">
        <f aca="false">IF(N(F72)&gt;0,F72*IF(H72="Yes",2,1)*IF(D72="Commercial",1.5,1)+ROW()/1000000,0)</f>
        <v>0</v>
      </c>
      <c r="J72" s="8" t="str">
        <f aca="false">IF(I72&gt;0,COUNTIF($I$6:$I$162,"&gt;"&amp;I72)+1,"")</f>
        <v/>
      </c>
      <c r="K72" s="9" t="str">
        <f aca="false">IF(AND(ISNUMBER(J72),J72&lt;=100),"Track","")</f>
        <v/>
      </c>
    </row>
    <row r="73" customFormat="false" ht="15" hidden="false" customHeight="false" outlineLevel="0" collapsed="false">
      <c r="A73" s="10" t="n">
        <v>68</v>
      </c>
      <c r="B73" s="10" t="s">
        <v>115</v>
      </c>
      <c r="C73" s="10" t="s">
        <v>104</v>
      </c>
      <c r="D73" s="10" t="s">
        <v>16</v>
      </c>
      <c r="E73" s="10" t="s">
        <v>116</v>
      </c>
      <c r="F73" s="6"/>
      <c r="G73" s="6"/>
      <c r="H73" s="6"/>
      <c r="I73" s="7" t="n">
        <f aca="false">IF(N(F73)&gt;0,F73*IF(H73="Yes",2,1)*IF(D73="Commercial",1.5,1)+ROW()/1000000,0)</f>
        <v>0</v>
      </c>
      <c r="J73" s="8" t="str">
        <f aca="false">IF(I73&gt;0,COUNTIF($I$6:$I$162,"&gt;"&amp;I73)+1,"")</f>
        <v/>
      </c>
      <c r="K73" s="9" t="str">
        <f aca="false">IF(AND(ISNUMBER(J73),J73&lt;=100),"Track","")</f>
        <v/>
      </c>
    </row>
    <row r="74" customFormat="false" ht="15" hidden="false" customHeight="false" outlineLevel="0" collapsed="false">
      <c r="A74" s="5" t="n">
        <v>69</v>
      </c>
      <c r="B74" s="5" t="s">
        <v>117</v>
      </c>
      <c r="C74" s="5" t="s">
        <v>104</v>
      </c>
      <c r="D74" s="5" t="s">
        <v>33</v>
      </c>
      <c r="E74" s="5" t="s">
        <v>118</v>
      </c>
      <c r="F74" s="6"/>
      <c r="G74" s="6"/>
      <c r="H74" s="6"/>
      <c r="I74" s="7" t="n">
        <f aca="false">IF(N(F74)&gt;0,F74*IF(H74="Yes",2,1)*IF(D74="Commercial",1.5,1)+ROW()/1000000,0)</f>
        <v>0</v>
      </c>
      <c r="J74" s="8" t="str">
        <f aca="false">IF(I74&gt;0,COUNTIF($I$6:$I$162,"&gt;"&amp;I74)+1,"")</f>
        <v/>
      </c>
      <c r="K74" s="9" t="str">
        <f aca="false">IF(AND(ISNUMBER(J74),J74&lt;=100),"Track","")</f>
        <v/>
      </c>
    </row>
    <row r="75" customFormat="false" ht="15" hidden="false" customHeight="false" outlineLevel="0" collapsed="false">
      <c r="A75" s="10" t="n">
        <v>70</v>
      </c>
      <c r="B75" s="10" t="s">
        <v>119</v>
      </c>
      <c r="C75" s="10" t="s">
        <v>104</v>
      </c>
      <c r="D75" s="10" t="s">
        <v>16</v>
      </c>
      <c r="E75" s="10" t="s">
        <v>120</v>
      </c>
      <c r="F75" s="6"/>
      <c r="G75" s="6"/>
      <c r="H75" s="6"/>
      <c r="I75" s="7" t="n">
        <f aca="false">IF(N(F75)&gt;0,F75*IF(H75="Yes",2,1)*IF(D75="Commercial",1.5,1)+ROW()/1000000,0)</f>
        <v>0</v>
      </c>
      <c r="J75" s="8" t="str">
        <f aca="false">IF(I75&gt;0,COUNTIF($I$6:$I$162,"&gt;"&amp;I75)+1,"")</f>
        <v/>
      </c>
      <c r="K75" s="9" t="str">
        <f aca="false">IF(AND(ISNUMBER(J75),J75&lt;=100),"Track","")</f>
        <v/>
      </c>
    </row>
    <row r="76" customFormat="false" ht="15" hidden="false" customHeight="false" outlineLevel="0" collapsed="false">
      <c r="A76" s="5" t="n">
        <v>71</v>
      </c>
      <c r="B76" s="5" t="s">
        <v>121</v>
      </c>
      <c r="C76" s="5" t="s">
        <v>104</v>
      </c>
      <c r="D76" s="5" t="s">
        <v>16</v>
      </c>
      <c r="E76" s="5" t="s">
        <v>122</v>
      </c>
      <c r="F76" s="6"/>
      <c r="G76" s="6"/>
      <c r="H76" s="6"/>
      <c r="I76" s="7" t="n">
        <f aca="false">IF(N(F76)&gt;0,F76*IF(H76="Yes",2,1)*IF(D76="Commercial",1.5,1)+ROW()/1000000,0)</f>
        <v>0</v>
      </c>
      <c r="J76" s="8" t="str">
        <f aca="false">IF(I76&gt;0,COUNTIF($I$6:$I$162,"&gt;"&amp;I76)+1,"")</f>
        <v/>
      </c>
      <c r="K76" s="9" t="str">
        <f aca="false">IF(AND(ISNUMBER(J76),J76&lt;=100),"Track","")</f>
        <v/>
      </c>
    </row>
    <row r="77" customFormat="false" ht="15" hidden="false" customHeight="false" outlineLevel="0" collapsed="false">
      <c r="A77" s="10" t="n">
        <v>72</v>
      </c>
      <c r="B77" s="10" t="s">
        <v>123</v>
      </c>
      <c r="C77" s="10" t="s">
        <v>104</v>
      </c>
      <c r="D77" s="10" t="s">
        <v>16</v>
      </c>
      <c r="E77" s="10" t="s">
        <v>124</v>
      </c>
      <c r="F77" s="6"/>
      <c r="G77" s="6"/>
      <c r="H77" s="6"/>
      <c r="I77" s="7" t="n">
        <f aca="false">IF(N(F77)&gt;0,F77*IF(H77="Yes",2,1)*IF(D77="Commercial",1.5,1)+ROW()/1000000,0)</f>
        <v>0</v>
      </c>
      <c r="J77" s="8" t="str">
        <f aca="false">IF(I77&gt;0,COUNTIF($I$6:$I$162,"&gt;"&amp;I77)+1,"")</f>
        <v/>
      </c>
      <c r="K77" s="9" t="str">
        <f aca="false">IF(AND(ISNUMBER(J77),J77&lt;=100),"Track","")</f>
        <v/>
      </c>
    </row>
    <row r="78" customFormat="false" ht="15" hidden="false" customHeight="false" outlineLevel="0" collapsed="false">
      <c r="A78" s="5" t="n">
        <v>73</v>
      </c>
      <c r="B78" s="5" t="s">
        <v>125</v>
      </c>
      <c r="C78" s="5" t="s">
        <v>104</v>
      </c>
      <c r="D78" s="5" t="s">
        <v>16</v>
      </c>
      <c r="E78" s="5" t="s">
        <v>126</v>
      </c>
      <c r="F78" s="6"/>
      <c r="G78" s="6"/>
      <c r="H78" s="6"/>
      <c r="I78" s="7" t="n">
        <f aca="false">IF(N(F78)&gt;0,F78*IF(H78="Yes",2,1)*IF(D78="Commercial",1.5,1)+ROW()/1000000,0)</f>
        <v>0</v>
      </c>
      <c r="J78" s="8" t="str">
        <f aca="false">IF(I78&gt;0,COUNTIF($I$6:$I$162,"&gt;"&amp;I78)+1,"")</f>
        <v/>
      </c>
      <c r="K78" s="9" t="str">
        <f aca="false">IF(AND(ISNUMBER(J78),J78&lt;=100),"Track","")</f>
        <v/>
      </c>
    </row>
    <row r="79" customFormat="false" ht="15" hidden="false" customHeight="false" outlineLevel="0" collapsed="false">
      <c r="A79" s="10" t="n">
        <v>74</v>
      </c>
      <c r="B79" s="10" t="s">
        <v>127</v>
      </c>
      <c r="C79" s="10" t="s">
        <v>104</v>
      </c>
      <c r="D79" s="10" t="s">
        <v>33</v>
      </c>
      <c r="E79" s="10" t="s">
        <v>128</v>
      </c>
      <c r="F79" s="6"/>
      <c r="G79" s="6"/>
      <c r="H79" s="6"/>
      <c r="I79" s="7" t="n">
        <f aca="false">IF(N(F79)&gt;0,F79*IF(H79="Yes",2,1)*IF(D79="Commercial",1.5,1)+ROW()/1000000,0)</f>
        <v>0</v>
      </c>
      <c r="J79" s="8" t="str">
        <f aca="false">IF(I79&gt;0,COUNTIF($I$6:$I$162,"&gt;"&amp;I79)+1,"")</f>
        <v/>
      </c>
      <c r="K79" s="9" t="str">
        <f aca="false">IF(AND(ISNUMBER(J79),J79&lt;=100),"Track","")</f>
        <v/>
      </c>
    </row>
    <row r="80" customFormat="false" ht="15" hidden="false" customHeight="false" outlineLevel="0" collapsed="false">
      <c r="A80" s="5" t="n">
        <v>75</v>
      </c>
      <c r="B80" s="5" t="s">
        <v>129</v>
      </c>
      <c r="C80" s="5" t="s">
        <v>104</v>
      </c>
      <c r="D80" s="5" t="s">
        <v>16</v>
      </c>
      <c r="E80" s="5" t="s">
        <v>130</v>
      </c>
      <c r="F80" s="6"/>
      <c r="G80" s="6"/>
      <c r="H80" s="6"/>
      <c r="I80" s="7" t="n">
        <f aca="false">IF(N(F80)&gt;0,F80*IF(H80="Yes",2,1)*IF(D80="Commercial",1.5,1)+ROW()/1000000,0)</f>
        <v>0</v>
      </c>
      <c r="J80" s="8" t="str">
        <f aca="false">IF(I80&gt;0,COUNTIF($I$6:$I$162,"&gt;"&amp;I80)+1,"")</f>
        <v/>
      </c>
      <c r="K80" s="9" t="str">
        <f aca="false">IF(AND(ISNUMBER(J80),J80&lt;=100),"Track","")</f>
        <v/>
      </c>
    </row>
    <row r="81" customFormat="false" ht="15" hidden="false" customHeight="false" outlineLevel="0" collapsed="false">
      <c r="A81" s="10" t="n">
        <v>76</v>
      </c>
      <c r="B81" s="10" t="s">
        <v>131</v>
      </c>
      <c r="C81" s="10" t="s">
        <v>104</v>
      </c>
      <c r="D81" s="10" t="s">
        <v>16</v>
      </c>
      <c r="E81" s="10" t="s">
        <v>130</v>
      </c>
      <c r="F81" s="6"/>
      <c r="G81" s="6"/>
      <c r="H81" s="6"/>
      <c r="I81" s="7" t="n">
        <f aca="false">IF(N(F81)&gt;0,F81*IF(H81="Yes",2,1)*IF(D81="Commercial",1.5,1)+ROW()/1000000,0)</f>
        <v>0</v>
      </c>
      <c r="J81" s="8" t="str">
        <f aca="false">IF(I81&gt;0,COUNTIF($I$6:$I$162,"&gt;"&amp;I81)+1,"")</f>
        <v/>
      </c>
      <c r="K81" s="9" t="str">
        <f aca="false">IF(AND(ISNUMBER(J81),J81&lt;=100),"Track","")</f>
        <v/>
      </c>
    </row>
    <row r="82" customFormat="false" ht="15" hidden="false" customHeight="false" outlineLevel="0" collapsed="false">
      <c r="A82" s="5" t="n">
        <v>77</v>
      </c>
      <c r="B82" s="5" t="s">
        <v>132</v>
      </c>
      <c r="C82" s="5" t="s">
        <v>104</v>
      </c>
      <c r="D82" s="5" t="s">
        <v>16</v>
      </c>
      <c r="E82" s="5" t="s">
        <v>130</v>
      </c>
      <c r="F82" s="6"/>
      <c r="G82" s="6"/>
      <c r="H82" s="6"/>
      <c r="I82" s="7" t="n">
        <f aca="false">IF(N(F82)&gt;0,F82*IF(H82="Yes",2,1)*IF(D82="Commercial",1.5,1)+ROW()/1000000,0)</f>
        <v>0</v>
      </c>
      <c r="J82" s="8" t="str">
        <f aca="false">IF(I82&gt;0,COUNTIF($I$6:$I$162,"&gt;"&amp;I82)+1,"")</f>
        <v/>
      </c>
      <c r="K82" s="9" t="str">
        <f aca="false">IF(AND(ISNUMBER(J82),J82&lt;=100),"Track","")</f>
        <v/>
      </c>
    </row>
    <row r="83" customFormat="false" ht="15" hidden="false" customHeight="false" outlineLevel="0" collapsed="false">
      <c r="A83" s="10" t="n">
        <v>78</v>
      </c>
      <c r="B83" s="10" t="s">
        <v>133</v>
      </c>
      <c r="C83" s="10" t="s">
        <v>104</v>
      </c>
      <c r="D83" s="10" t="s">
        <v>16</v>
      </c>
      <c r="E83" s="10" t="s">
        <v>134</v>
      </c>
      <c r="F83" s="6"/>
      <c r="G83" s="6"/>
      <c r="H83" s="6"/>
      <c r="I83" s="7" t="n">
        <f aca="false">IF(N(F83)&gt;0,F83*IF(H83="Yes",2,1)*IF(D83="Commercial",1.5,1)+ROW()/1000000,0)</f>
        <v>0</v>
      </c>
      <c r="J83" s="8" t="str">
        <f aca="false">IF(I83&gt;0,COUNTIF($I$6:$I$162,"&gt;"&amp;I83)+1,"")</f>
        <v/>
      </c>
      <c r="K83" s="9" t="str">
        <f aca="false">IF(AND(ISNUMBER(J83),J83&lt;=100),"Track","")</f>
        <v/>
      </c>
    </row>
    <row r="84" customFormat="false" ht="15" hidden="false" customHeight="false" outlineLevel="0" collapsed="false">
      <c r="A84" s="5" t="n">
        <v>79</v>
      </c>
      <c r="B84" s="5" t="s">
        <v>135</v>
      </c>
      <c r="C84" s="5" t="s">
        <v>104</v>
      </c>
      <c r="D84" s="5" t="s">
        <v>16</v>
      </c>
      <c r="E84" s="5" t="s">
        <v>134</v>
      </c>
      <c r="F84" s="6"/>
      <c r="G84" s="6"/>
      <c r="H84" s="6"/>
      <c r="I84" s="7" t="n">
        <f aca="false">IF(N(F84)&gt;0,F84*IF(H84="Yes",2,1)*IF(D84="Commercial",1.5,1)+ROW()/1000000,0)</f>
        <v>0</v>
      </c>
      <c r="J84" s="8" t="str">
        <f aca="false">IF(I84&gt;0,COUNTIF($I$6:$I$162,"&gt;"&amp;I84)+1,"")</f>
        <v/>
      </c>
      <c r="K84" s="9" t="str">
        <f aca="false">IF(AND(ISNUMBER(J84),J84&lt;=100),"Track","")</f>
        <v/>
      </c>
    </row>
    <row r="85" customFormat="false" ht="15" hidden="false" customHeight="false" outlineLevel="0" collapsed="false">
      <c r="A85" s="10" t="n">
        <v>80</v>
      </c>
      <c r="B85" s="10" t="s">
        <v>136</v>
      </c>
      <c r="C85" s="10" t="s">
        <v>104</v>
      </c>
      <c r="D85" s="10" t="s">
        <v>16</v>
      </c>
      <c r="E85" s="10" t="s">
        <v>134</v>
      </c>
      <c r="F85" s="6"/>
      <c r="G85" s="6"/>
      <c r="H85" s="6"/>
      <c r="I85" s="7" t="n">
        <f aca="false">IF(N(F85)&gt;0,F85*IF(H85="Yes",2,1)*IF(D85="Commercial",1.5,1)+ROW()/1000000,0)</f>
        <v>0</v>
      </c>
      <c r="J85" s="8" t="str">
        <f aca="false">IF(I85&gt;0,COUNTIF($I$6:$I$162,"&gt;"&amp;I85)+1,"")</f>
        <v/>
      </c>
      <c r="K85" s="9" t="str">
        <f aca="false">IF(AND(ISNUMBER(J85),J85&lt;=100),"Track","")</f>
        <v/>
      </c>
    </row>
    <row r="86" customFormat="false" ht="15" hidden="false" customHeight="false" outlineLevel="0" collapsed="false">
      <c r="A86" s="5" t="n">
        <v>81</v>
      </c>
      <c r="B86" s="5" t="s">
        <v>137</v>
      </c>
      <c r="C86" s="5" t="s">
        <v>104</v>
      </c>
      <c r="D86" s="5" t="s">
        <v>16</v>
      </c>
      <c r="E86" s="5" t="s">
        <v>138</v>
      </c>
      <c r="F86" s="6"/>
      <c r="G86" s="6"/>
      <c r="H86" s="6"/>
      <c r="I86" s="7" t="n">
        <f aca="false">IF(N(F86)&gt;0,F86*IF(H86="Yes",2,1)*IF(D86="Commercial",1.5,1)+ROW()/1000000,0)</f>
        <v>0</v>
      </c>
      <c r="J86" s="8" t="str">
        <f aca="false">IF(I86&gt;0,COUNTIF($I$6:$I$162,"&gt;"&amp;I86)+1,"")</f>
        <v/>
      </c>
      <c r="K86" s="9" t="str">
        <f aca="false">IF(AND(ISNUMBER(J86),J86&lt;=100),"Track","")</f>
        <v/>
      </c>
    </row>
    <row r="87" customFormat="false" ht="15" hidden="false" customHeight="false" outlineLevel="0" collapsed="false">
      <c r="A87" s="10" t="n">
        <v>82</v>
      </c>
      <c r="B87" s="10" t="s">
        <v>139</v>
      </c>
      <c r="C87" s="10" t="s">
        <v>140</v>
      </c>
      <c r="D87" s="10" t="s">
        <v>16</v>
      </c>
      <c r="E87" s="10" t="s">
        <v>141</v>
      </c>
      <c r="F87" s="6"/>
      <c r="G87" s="6"/>
      <c r="H87" s="6"/>
      <c r="I87" s="7" t="n">
        <f aca="false">IF(N(F87)&gt;0,F87*IF(H87="Yes",2,1)*IF(D87="Commercial",1.5,1)+ROW()/1000000,0)</f>
        <v>0</v>
      </c>
      <c r="J87" s="8" t="str">
        <f aca="false">IF(I87&gt;0,COUNTIF($I$6:$I$162,"&gt;"&amp;I87)+1,"")</f>
        <v/>
      </c>
      <c r="K87" s="9" t="str">
        <f aca="false">IF(AND(ISNUMBER(J87),J87&lt;=100),"Track","")</f>
        <v/>
      </c>
    </row>
    <row r="88" customFormat="false" ht="15" hidden="false" customHeight="false" outlineLevel="0" collapsed="false">
      <c r="A88" s="5" t="n">
        <v>83</v>
      </c>
      <c r="B88" s="5" t="s">
        <v>142</v>
      </c>
      <c r="C88" s="5" t="s">
        <v>140</v>
      </c>
      <c r="D88" s="5" t="s">
        <v>16</v>
      </c>
      <c r="E88" s="5" t="s">
        <v>141</v>
      </c>
      <c r="F88" s="6"/>
      <c r="G88" s="6"/>
      <c r="H88" s="6"/>
      <c r="I88" s="7" t="n">
        <f aca="false">IF(N(F88)&gt;0,F88*IF(H88="Yes",2,1)*IF(D88="Commercial",1.5,1)+ROW()/1000000,0)</f>
        <v>0</v>
      </c>
      <c r="J88" s="8" t="str">
        <f aca="false">IF(I88&gt;0,COUNTIF($I$6:$I$162,"&gt;"&amp;I88)+1,"")</f>
        <v/>
      </c>
      <c r="K88" s="9" t="str">
        <f aca="false">IF(AND(ISNUMBER(J88),J88&lt;=100),"Track","")</f>
        <v/>
      </c>
    </row>
    <row r="89" customFormat="false" ht="15" hidden="false" customHeight="false" outlineLevel="0" collapsed="false">
      <c r="A89" s="10" t="n">
        <v>84</v>
      </c>
      <c r="B89" s="10" t="s">
        <v>143</v>
      </c>
      <c r="C89" s="10" t="s">
        <v>140</v>
      </c>
      <c r="D89" s="10" t="s">
        <v>16</v>
      </c>
      <c r="E89" s="10" t="s">
        <v>141</v>
      </c>
      <c r="F89" s="6"/>
      <c r="G89" s="6"/>
      <c r="H89" s="6"/>
      <c r="I89" s="7" t="n">
        <f aca="false">IF(N(F89)&gt;0,F89*IF(H89="Yes",2,1)*IF(D89="Commercial",1.5,1)+ROW()/1000000,0)</f>
        <v>0</v>
      </c>
      <c r="J89" s="8" t="str">
        <f aca="false">IF(I89&gt;0,COUNTIF($I$6:$I$162,"&gt;"&amp;I89)+1,"")</f>
        <v/>
      </c>
      <c r="K89" s="9" t="str">
        <f aca="false">IF(AND(ISNUMBER(J89),J89&lt;=100),"Track","")</f>
        <v/>
      </c>
    </row>
    <row r="90" customFormat="false" ht="15" hidden="false" customHeight="false" outlineLevel="0" collapsed="false">
      <c r="A90" s="5" t="n">
        <v>85</v>
      </c>
      <c r="B90" s="5" t="s">
        <v>144</v>
      </c>
      <c r="C90" s="5" t="s">
        <v>140</v>
      </c>
      <c r="D90" s="5" t="s">
        <v>16</v>
      </c>
      <c r="E90" s="5" t="s">
        <v>141</v>
      </c>
      <c r="F90" s="6"/>
      <c r="G90" s="6"/>
      <c r="H90" s="6"/>
      <c r="I90" s="7" t="n">
        <f aca="false">IF(N(F90)&gt;0,F90*IF(H90="Yes",2,1)*IF(D90="Commercial",1.5,1)+ROW()/1000000,0)</f>
        <v>0</v>
      </c>
      <c r="J90" s="8" t="str">
        <f aca="false">IF(I90&gt;0,COUNTIF($I$6:$I$162,"&gt;"&amp;I90)+1,"")</f>
        <v/>
      </c>
      <c r="K90" s="9" t="str">
        <f aca="false">IF(AND(ISNUMBER(J90),J90&lt;=100),"Track","")</f>
        <v/>
      </c>
    </row>
    <row r="91" customFormat="false" ht="15" hidden="false" customHeight="false" outlineLevel="0" collapsed="false">
      <c r="A91" s="10" t="n">
        <v>86</v>
      </c>
      <c r="B91" s="10" t="s">
        <v>145</v>
      </c>
      <c r="C91" s="10" t="s">
        <v>140</v>
      </c>
      <c r="D91" s="10" t="s">
        <v>16</v>
      </c>
      <c r="E91" s="10" t="s">
        <v>141</v>
      </c>
      <c r="F91" s="6"/>
      <c r="G91" s="6"/>
      <c r="H91" s="6"/>
      <c r="I91" s="7" t="n">
        <f aca="false">IF(N(F91)&gt;0,F91*IF(H91="Yes",2,1)*IF(D91="Commercial",1.5,1)+ROW()/1000000,0)</f>
        <v>0</v>
      </c>
      <c r="J91" s="8" t="str">
        <f aca="false">IF(I91&gt;0,COUNTIF($I$6:$I$162,"&gt;"&amp;I91)+1,"")</f>
        <v/>
      </c>
      <c r="K91" s="9" t="str">
        <f aca="false">IF(AND(ISNUMBER(J91),J91&lt;=100),"Track","")</f>
        <v/>
      </c>
    </row>
    <row r="92" customFormat="false" ht="15" hidden="false" customHeight="false" outlineLevel="0" collapsed="false">
      <c r="A92" s="5" t="n">
        <v>87</v>
      </c>
      <c r="B92" s="5" t="s">
        <v>146</v>
      </c>
      <c r="C92" s="5" t="s">
        <v>140</v>
      </c>
      <c r="D92" s="5" t="s">
        <v>16</v>
      </c>
      <c r="E92" s="5" t="s">
        <v>147</v>
      </c>
      <c r="F92" s="6"/>
      <c r="G92" s="6"/>
      <c r="H92" s="6"/>
      <c r="I92" s="7" t="n">
        <f aca="false">IF(N(F92)&gt;0,F92*IF(H92="Yes",2,1)*IF(D92="Commercial",1.5,1)+ROW()/1000000,0)</f>
        <v>0</v>
      </c>
      <c r="J92" s="8" t="str">
        <f aca="false">IF(I92&gt;0,COUNTIF($I$6:$I$162,"&gt;"&amp;I92)+1,"")</f>
        <v/>
      </c>
      <c r="K92" s="9" t="str">
        <f aca="false">IF(AND(ISNUMBER(J92),J92&lt;=100),"Track","")</f>
        <v/>
      </c>
    </row>
    <row r="93" customFormat="false" ht="15" hidden="false" customHeight="false" outlineLevel="0" collapsed="false">
      <c r="A93" s="10" t="n">
        <v>88</v>
      </c>
      <c r="B93" s="10" t="s">
        <v>148</v>
      </c>
      <c r="C93" s="10" t="s">
        <v>140</v>
      </c>
      <c r="D93" s="10" t="s">
        <v>16</v>
      </c>
      <c r="E93" s="10" t="s">
        <v>147</v>
      </c>
      <c r="F93" s="6"/>
      <c r="G93" s="6"/>
      <c r="H93" s="6"/>
      <c r="I93" s="7" t="n">
        <f aca="false">IF(N(F93)&gt;0,F93*IF(H93="Yes",2,1)*IF(D93="Commercial",1.5,1)+ROW()/1000000,0)</f>
        <v>0</v>
      </c>
      <c r="J93" s="8" t="str">
        <f aca="false">IF(I93&gt;0,COUNTIF($I$6:$I$162,"&gt;"&amp;I93)+1,"")</f>
        <v/>
      </c>
      <c r="K93" s="9" t="str">
        <f aca="false">IF(AND(ISNUMBER(J93),J93&lt;=100),"Track","")</f>
        <v/>
      </c>
    </row>
    <row r="94" customFormat="false" ht="15" hidden="false" customHeight="false" outlineLevel="0" collapsed="false">
      <c r="A94" s="5" t="n">
        <v>89</v>
      </c>
      <c r="B94" s="5" t="s">
        <v>149</v>
      </c>
      <c r="C94" s="5" t="s">
        <v>140</v>
      </c>
      <c r="D94" s="5" t="s">
        <v>16</v>
      </c>
      <c r="E94" s="5" t="s">
        <v>147</v>
      </c>
      <c r="F94" s="6"/>
      <c r="G94" s="6"/>
      <c r="H94" s="6"/>
      <c r="I94" s="7" t="n">
        <f aca="false">IF(N(F94)&gt;0,F94*IF(H94="Yes",2,1)*IF(D94="Commercial",1.5,1)+ROW()/1000000,0)</f>
        <v>0</v>
      </c>
      <c r="J94" s="8" t="str">
        <f aca="false">IF(I94&gt;0,COUNTIF($I$6:$I$162,"&gt;"&amp;I94)+1,"")</f>
        <v/>
      </c>
      <c r="K94" s="9" t="str">
        <f aca="false">IF(AND(ISNUMBER(J94),J94&lt;=100),"Track","")</f>
        <v/>
      </c>
    </row>
    <row r="95" customFormat="false" ht="15" hidden="false" customHeight="false" outlineLevel="0" collapsed="false">
      <c r="A95" s="10" t="n">
        <v>90</v>
      </c>
      <c r="B95" s="10" t="s">
        <v>150</v>
      </c>
      <c r="C95" s="10" t="s">
        <v>140</v>
      </c>
      <c r="D95" s="10" t="s">
        <v>16</v>
      </c>
      <c r="E95" s="10" t="s">
        <v>151</v>
      </c>
      <c r="F95" s="6"/>
      <c r="G95" s="6"/>
      <c r="H95" s="6"/>
      <c r="I95" s="7" t="n">
        <f aca="false">IF(N(F95)&gt;0,F95*IF(H95="Yes",2,1)*IF(D95="Commercial",1.5,1)+ROW()/1000000,0)</f>
        <v>0</v>
      </c>
      <c r="J95" s="8" t="str">
        <f aca="false">IF(I95&gt;0,COUNTIF($I$6:$I$162,"&gt;"&amp;I95)+1,"")</f>
        <v/>
      </c>
      <c r="K95" s="9" t="str">
        <f aca="false">IF(AND(ISNUMBER(J95),J95&lt;=100),"Track","")</f>
        <v/>
      </c>
    </row>
    <row r="96" customFormat="false" ht="15" hidden="false" customHeight="false" outlineLevel="0" collapsed="false">
      <c r="A96" s="5" t="n">
        <v>91</v>
      </c>
      <c r="B96" s="5" t="s">
        <v>152</v>
      </c>
      <c r="C96" s="5" t="s">
        <v>140</v>
      </c>
      <c r="D96" s="5" t="s">
        <v>16</v>
      </c>
      <c r="E96" s="5" t="s">
        <v>153</v>
      </c>
      <c r="F96" s="6"/>
      <c r="G96" s="6"/>
      <c r="H96" s="6"/>
      <c r="I96" s="7" t="n">
        <f aca="false">IF(N(F96)&gt;0,F96*IF(H96="Yes",2,1)*IF(D96="Commercial",1.5,1)+ROW()/1000000,0)</f>
        <v>0</v>
      </c>
      <c r="J96" s="8" t="str">
        <f aca="false">IF(I96&gt;0,COUNTIF($I$6:$I$162,"&gt;"&amp;I96)+1,"")</f>
        <v/>
      </c>
      <c r="K96" s="9" t="str">
        <f aca="false">IF(AND(ISNUMBER(J96),J96&lt;=100),"Track","")</f>
        <v/>
      </c>
    </row>
    <row r="97" customFormat="false" ht="15" hidden="false" customHeight="false" outlineLevel="0" collapsed="false">
      <c r="A97" s="10" t="n">
        <v>92</v>
      </c>
      <c r="B97" s="10" t="s">
        <v>154</v>
      </c>
      <c r="C97" s="10" t="s">
        <v>140</v>
      </c>
      <c r="D97" s="10" t="s">
        <v>16</v>
      </c>
      <c r="E97" s="10" t="s">
        <v>153</v>
      </c>
      <c r="F97" s="6"/>
      <c r="G97" s="6"/>
      <c r="H97" s="6"/>
      <c r="I97" s="7" t="n">
        <f aca="false">IF(N(F97)&gt;0,F97*IF(H97="Yes",2,1)*IF(D97="Commercial",1.5,1)+ROW()/1000000,0)</f>
        <v>0</v>
      </c>
      <c r="J97" s="8" t="str">
        <f aca="false">IF(I97&gt;0,COUNTIF($I$6:$I$162,"&gt;"&amp;I97)+1,"")</f>
        <v/>
      </c>
      <c r="K97" s="9" t="str">
        <f aca="false">IF(AND(ISNUMBER(J97),J97&lt;=100),"Track","")</f>
        <v/>
      </c>
    </row>
    <row r="98" customFormat="false" ht="15" hidden="false" customHeight="false" outlineLevel="0" collapsed="false">
      <c r="A98" s="5" t="n">
        <v>93</v>
      </c>
      <c r="B98" s="5" t="s">
        <v>155</v>
      </c>
      <c r="C98" s="5" t="s">
        <v>140</v>
      </c>
      <c r="D98" s="5" t="s">
        <v>16</v>
      </c>
      <c r="E98" s="5" t="s">
        <v>156</v>
      </c>
      <c r="F98" s="6"/>
      <c r="G98" s="6"/>
      <c r="H98" s="6"/>
      <c r="I98" s="7" t="n">
        <f aca="false">IF(N(F98)&gt;0,F98*IF(H98="Yes",2,1)*IF(D98="Commercial",1.5,1)+ROW()/1000000,0)</f>
        <v>0</v>
      </c>
      <c r="J98" s="8" t="str">
        <f aca="false">IF(I98&gt;0,COUNTIF($I$6:$I$162,"&gt;"&amp;I98)+1,"")</f>
        <v/>
      </c>
      <c r="K98" s="9" t="str">
        <f aca="false">IF(AND(ISNUMBER(J98),J98&lt;=100),"Track","")</f>
        <v/>
      </c>
    </row>
    <row r="99" customFormat="false" ht="15" hidden="false" customHeight="false" outlineLevel="0" collapsed="false">
      <c r="A99" s="10" t="n">
        <v>94</v>
      </c>
      <c r="B99" s="10" t="s">
        <v>157</v>
      </c>
      <c r="C99" s="10" t="s">
        <v>140</v>
      </c>
      <c r="D99" s="10" t="s">
        <v>16</v>
      </c>
      <c r="E99" s="10" t="s">
        <v>156</v>
      </c>
      <c r="F99" s="6"/>
      <c r="G99" s="6"/>
      <c r="H99" s="6"/>
      <c r="I99" s="7" t="n">
        <f aca="false">IF(N(F99)&gt;0,F99*IF(H99="Yes",2,1)*IF(D99="Commercial",1.5,1)+ROW()/1000000,0)</f>
        <v>0</v>
      </c>
      <c r="J99" s="8" t="str">
        <f aca="false">IF(I99&gt;0,COUNTIF($I$6:$I$162,"&gt;"&amp;I99)+1,"")</f>
        <v/>
      </c>
      <c r="K99" s="9" t="str">
        <f aca="false">IF(AND(ISNUMBER(J99),J99&lt;=100),"Track","")</f>
        <v/>
      </c>
    </row>
    <row r="100" customFormat="false" ht="15" hidden="false" customHeight="false" outlineLevel="0" collapsed="false">
      <c r="A100" s="5" t="n">
        <v>95</v>
      </c>
      <c r="B100" s="5" t="s">
        <v>158</v>
      </c>
      <c r="C100" s="5" t="s">
        <v>140</v>
      </c>
      <c r="D100" s="5" t="s">
        <v>16</v>
      </c>
      <c r="E100" s="5" t="s">
        <v>153</v>
      </c>
      <c r="F100" s="6"/>
      <c r="G100" s="6"/>
      <c r="H100" s="6"/>
      <c r="I100" s="7" t="n">
        <f aca="false">IF(N(F100)&gt;0,F100*IF(H100="Yes",2,1)*IF(D100="Commercial",1.5,1)+ROW()/1000000,0)</f>
        <v>0</v>
      </c>
      <c r="J100" s="8" t="str">
        <f aca="false">IF(I100&gt;0,COUNTIF($I$6:$I$162,"&gt;"&amp;I100)+1,"")</f>
        <v/>
      </c>
      <c r="K100" s="9" t="str">
        <f aca="false">IF(AND(ISNUMBER(J100),J100&lt;=100),"Track","")</f>
        <v/>
      </c>
    </row>
    <row r="101" customFormat="false" ht="15" hidden="false" customHeight="false" outlineLevel="0" collapsed="false">
      <c r="A101" s="10" t="n">
        <v>96</v>
      </c>
      <c r="B101" s="10" t="s">
        <v>159</v>
      </c>
      <c r="C101" s="10" t="s">
        <v>140</v>
      </c>
      <c r="D101" s="10" t="s">
        <v>16</v>
      </c>
      <c r="E101" s="10" t="s">
        <v>153</v>
      </c>
      <c r="F101" s="6"/>
      <c r="G101" s="6"/>
      <c r="H101" s="6"/>
      <c r="I101" s="7" t="n">
        <f aca="false">IF(N(F101)&gt;0,F101*IF(H101="Yes",2,1)*IF(D101="Commercial",1.5,1)+ROW()/1000000,0)</f>
        <v>0</v>
      </c>
      <c r="J101" s="8" t="str">
        <f aca="false">IF(I101&gt;0,COUNTIF($I$6:$I$162,"&gt;"&amp;I101)+1,"")</f>
        <v/>
      </c>
      <c r="K101" s="9" t="str">
        <f aca="false">IF(AND(ISNUMBER(J101),J101&lt;=100),"Track","")</f>
        <v/>
      </c>
    </row>
    <row r="102" customFormat="false" ht="15" hidden="false" customHeight="false" outlineLevel="0" collapsed="false">
      <c r="A102" s="5" t="n">
        <v>97</v>
      </c>
      <c r="B102" s="5" t="s">
        <v>160</v>
      </c>
      <c r="C102" s="5" t="s">
        <v>140</v>
      </c>
      <c r="D102" s="5" t="s">
        <v>16</v>
      </c>
      <c r="E102" s="5" t="s">
        <v>161</v>
      </c>
      <c r="F102" s="6"/>
      <c r="G102" s="6"/>
      <c r="H102" s="6"/>
      <c r="I102" s="7" t="n">
        <f aca="false">IF(N(F102)&gt;0,F102*IF(H102="Yes",2,1)*IF(D102="Commercial",1.5,1)+ROW()/1000000,0)</f>
        <v>0</v>
      </c>
      <c r="J102" s="8" t="str">
        <f aca="false">IF(I102&gt;0,COUNTIF($I$6:$I$162,"&gt;"&amp;I102)+1,"")</f>
        <v/>
      </c>
      <c r="K102" s="9" t="str">
        <f aca="false">IF(AND(ISNUMBER(J102),J102&lt;=100),"Track","")</f>
        <v/>
      </c>
    </row>
    <row r="103" customFormat="false" ht="15" hidden="false" customHeight="false" outlineLevel="0" collapsed="false">
      <c r="A103" s="10" t="n">
        <v>98</v>
      </c>
      <c r="B103" s="10" t="s">
        <v>162</v>
      </c>
      <c r="C103" s="10" t="s">
        <v>140</v>
      </c>
      <c r="D103" s="10" t="s">
        <v>16</v>
      </c>
      <c r="E103" s="10" t="s">
        <v>161</v>
      </c>
      <c r="F103" s="6"/>
      <c r="G103" s="6"/>
      <c r="H103" s="6"/>
      <c r="I103" s="7" t="n">
        <f aca="false">IF(N(F103)&gt;0,F103*IF(H103="Yes",2,1)*IF(D103="Commercial",1.5,1)+ROW()/1000000,0)</f>
        <v>0</v>
      </c>
      <c r="J103" s="8" t="str">
        <f aca="false">IF(I103&gt;0,COUNTIF($I$6:$I$162,"&gt;"&amp;I103)+1,"")</f>
        <v/>
      </c>
      <c r="K103" s="9" t="str">
        <f aca="false">IF(AND(ISNUMBER(J103),J103&lt;=100),"Track","")</f>
        <v/>
      </c>
    </row>
    <row r="104" customFormat="false" ht="15" hidden="false" customHeight="false" outlineLevel="0" collapsed="false">
      <c r="A104" s="5" t="n">
        <v>99</v>
      </c>
      <c r="B104" s="5" t="s">
        <v>163</v>
      </c>
      <c r="C104" s="5" t="s">
        <v>140</v>
      </c>
      <c r="D104" s="5" t="s">
        <v>16</v>
      </c>
      <c r="E104" s="5" t="s">
        <v>153</v>
      </c>
      <c r="F104" s="6"/>
      <c r="G104" s="6"/>
      <c r="H104" s="6"/>
      <c r="I104" s="7" t="n">
        <f aca="false">IF(N(F104)&gt;0,F104*IF(H104="Yes",2,1)*IF(D104="Commercial",1.5,1)+ROW()/1000000,0)</f>
        <v>0</v>
      </c>
      <c r="J104" s="8" t="str">
        <f aca="false">IF(I104&gt;0,COUNTIF($I$6:$I$162,"&gt;"&amp;I104)+1,"")</f>
        <v/>
      </c>
      <c r="K104" s="9" t="str">
        <f aca="false">IF(AND(ISNUMBER(J104),J104&lt;=100),"Track","")</f>
        <v/>
      </c>
    </row>
    <row r="105" customFormat="false" ht="15" hidden="false" customHeight="false" outlineLevel="0" collapsed="false">
      <c r="A105" s="10" t="n">
        <v>100</v>
      </c>
      <c r="B105" s="10" t="s">
        <v>164</v>
      </c>
      <c r="C105" s="10" t="s">
        <v>140</v>
      </c>
      <c r="D105" s="10" t="s">
        <v>16</v>
      </c>
      <c r="E105" s="10" t="s">
        <v>165</v>
      </c>
      <c r="F105" s="6"/>
      <c r="G105" s="6"/>
      <c r="H105" s="6"/>
      <c r="I105" s="7" t="n">
        <f aca="false">IF(N(F105)&gt;0,F105*IF(H105="Yes",2,1)*IF(D105="Commercial",1.5,1)+ROW()/1000000,0)</f>
        <v>0</v>
      </c>
      <c r="J105" s="8" t="str">
        <f aca="false">IF(I105&gt;0,COUNTIF($I$6:$I$162,"&gt;"&amp;I105)+1,"")</f>
        <v/>
      </c>
      <c r="K105" s="9" t="str">
        <f aca="false">IF(AND(ISNUMBER(J105),J105&lt;=100),"Track","")</f>
        <v/>
      </c>
    </row>
    <row r="106" customFormat="false" ht="15" hidden="false" customHeight="false" outlineLevel="0" collapsed="false">
      <c r="A106" s="5" t="n">
        <v>101</v>
      </c>
      <c r="B106" s="5" t="s">
        <v>166</v>
      </c>
      <c r="C106" s="5" t="s">
        <v>140</v>
      </c>
      <c r="D106" s="5" t="s">
        <v>16</v>
      </c>
      <c r="E106" s="5" t="s">
        <v>167</v>
      </c>
      <c r="F106" s="6"/>
      <c r="G106" s="6"/>
      <c r="H106" s="6"/>
      <c r="I106" s="7" t="n">
        <f aca="false">IF(N(F106)&gt;0,F106*IF(H106="Yes",2,1)*IF(D106="Commercial",1.5,1)+ROW()/1000000,0)</f>
        <v>0</v>
      </c>
      <c r="J106" s="8" t="str">
        <f aca="false">IF(I106&gt;0,COUNTIF($I$6:$I$162,"&gt;"&amp;I106)+1,"")</f>
        <v/>
      </c>
      <c r="K106" s="9" t="str">
        <f aca="false">IF(AND(ISNUMBER(J106),J106&lt;=100),"Track","")</f>
        <v/>
      </c>
    </row>
    <row r="107" customFormat="false" ht="15" hidden="false" customHeight="false" outlineLevel="0" collapsed="false">
      <c r="A107" s="10" t="n">
        <v>102</v>
      </c>
      <c r="B107" s="10" t="s">
        <v>168</v>
      </c>
      <c r="C107" s="10" t="s">
        <v>169</v>
      </c>
      <c r="D107" s="10" t="s">
        <v>16</v>
      </c>
      <c r="E107" s="10" t="s">
        <v>170</v>
      </c>
      <c r="F107" s="6"/>
      <c r="G107" s="6"/>
      <c r="H107" s="6"/>
      <c r="I107" s="7" t="n">
        <f aca="false">IF(N(F107)&gt;0,F107*IF(H107="Yes",2,1)*IF(D107="Commercial",1.5,1)+ROW()/1000000,0)</f>
        <v>0</v>
      </c>
      <c r="J107" s="8" t="str">
        <f aca="false">IF(I107&gt;0,COUNTIF($I$6:$I$162,"&gt;"&amp;I107)+1,"")</f>
        <v/>
      </c>
      <c r="K107" s="9" t="str">
        <f aca="false">IF(AND(ISNUMBER(J107),J107&lt;=100),"Track","")</f>
        <v/>
      </c>
    </row>
    <row r="108" customFormat="false" ht="15" hidden="false" customHeight="false" outlineLevel="0" collapsed="false">
      <c r="A108" s="5" t="n">
        <v>103</v>
      </c>
      <c r="B108" s="5" t="s">
        <v>171</v>
      </c>
      <c r="C108" s="5" t="s">
        <v>169</v>
      </c>
      <c r="D108" s="5" t="s">
        <v>16</v>
      </c>
      <c r="E108" s="5" t="s">
        <v>170</v>
      </c>
      <c r="F108" s="6"/>
      <c r="G108" s="6"/>
      <c r="H108" s="6"/>
      <c r="I108" s="7" t="n">
        <f aca="false">IF(N(F108)&gt;0,F108*IF(H108="Yes",2,1)*IF(D108="Commercial",1.5,1)+ROW()/1000000,0)</f>
        <v>0</v>
      </c>
      <c r="J108" s="8" t="str">
        <f aca="false">IF(I108&gt;0,COUNTIF($I$6:$I$162,"&gt;"&amp;I108)+1,"")</f>
        <v/>
      </c>
      <c r="K108" s="9" t="str">
        <f aca="false">IF(AND(ISNUMBER(J108),J108&lt;=100),"Track","")</f>
        <v/>
      </c>
    </row>
    <row r="109" customFormat="false" ht="15" hidden="false" customHeight="false" outlineLevel="0" collapsed="false">
      <c r="A109" s="10" t="n">
        <v>104</v>
      </c>
      <c r="B109" s="10" t="s">
        <v>172</v>
      </c>
      <c r="C109" s="10" t="s">
        <v>169</v>
      </c>
      <c r="D109" s="10" t="s">
        <v>33</v>
      </c>
      <c r="E109" s="10" t="s">
        <v>173</v>
      </c>
      <c r="F109" s="6"/>
      <c r="G109" s="6"/>
      <c r="H109" s="6"/>
      <c r="I109" s="7" t="n">
        <f aca="false">IF(N(F109)&gt;0,F109*IF(H109="Yes",2,1)*IF(D109="Commercial",1.5,1)+ROW()/1000000,0)</f>
        <v>0</v>
      </c>
      <c r="J109" s="8" t="str">
        <f aca="false">IF(I109&gt;0,COUNTIF($I$6:$I$162,"&gt;"&amp;I109)+1,"")</f>
        <v/>
      </c>
      <c r="K109" s="9" t="str">
        <f aca="false">IF(AND(ISNUMBER(J109),J109&lt;=100),"Track","")</f>
        <v/>
      </c>
    </row>
    <row r="110" customFormat="false" ht="15" hidden="false" customHeight="false" outlineLevel="0" collapsed="false">
      <c r="A110" s="5" t="n">
        <v>105</v>
      </c>
      <c r="B110" s="5" t="s">
        <v>174</v>
      </c>
      <c r="C110" s="5" t="s">
        <v>169</v>
      </c>
      <c r="D110" s="5" t="s">
        <v>33</v>
      </c>
      <c r="E110" s="5" t="s">
        <v>173</v>
      </c>
      <c r="F110" s="6"/>
      <c r="G110" s="6"/>
      <c r="H110" s="6"/>
      <c r="I110" s="7" t="n">
        <f aca="false">IF(N(F110)&gt;0,F110*IF(H110="Yes",2,1)*IF(D110="Commercial",1.5,1)+ROW()/1000000,0)</f>
        <v>0</v>
      </c>
      <c r="J110" s="8" t="str">
        <f aca="false">IF(I110&gt;0,COUNTIF($I$6:$I$162,"&gt;"&amp;I110)+1,"")</f>
        <v/>
      </c>
      <c r="K110" s="9" t="str">
        <f aca="false">IF(AND(ISNUMBER(J110),J110&lt;=100),"Track","")</f>
        <v/>
      </c>
    </row>
    <row r="111" customFormat="false" ht="15" hidden="false" customHeight="false" outlineLevel="0" collapsed="false">
      <c r="A111" s="10" t="n">
        <v>106</v>
      </c>
      <c r="B111" s="10" t="s">
        <v>175</v>
      </c>
      <c r="C111" s="10" t="s">
        <v>169</v>
      </c>
      <c r="D111" s="10" t="s">
        <v>16</v>
      </c>
      <c r="E111" s="10" t="s">
        <v>176</v>
      </c>
      <c r="F111" s="6"/>
      <c r="G111" s="6"/>
      <c r="H111" s="6"/>
      <c r="I111" s="7" t="n">
        <f aca="false">IF(N(F111)&gt;0,F111*IF(H111="Yes",2,1)*IF(D111="Commercial",1.5,1)+ROW()/1000000,0)</f>
        <v>0</v>
      </c>
      <c r="J111" s="8" t="str">
        <f aca="false">IF(I111&gt;0,COUNTIF($I$6:$I$162,"&gt;"&amp;I111)+1,"")</f>
        <v/>
      </c>
      <c r="K111" s="9" t="str">
        <f aca="false">IF(AND(ISNUMBER(J111),J111&lt;=100),"Track","")</f>
        <v/>
      </c>
    </row>
    <row r="112" customFormat="false" ht="15" hidden="false" customHeight="false" outlineLevel="0" collapsed="false">
      <c r="A112" s="5" t="n">
        <v>107</v>
      </c>
      <c r="B112" s="5" t="s">
        <v>177</v>
      </c>
      <c r="C112" s="5" t="s">
        <v>169</v>
      </c>
      <c r="D112" s="5" t="s">
        <v>16</v>
      </c>
      <c r="E112" s="5" t="s">
        <v>176</v>
      </c>
      <c r="F112" s="6"/>
      <c r="G112" s="6"/>
      <c r="H112" s="6"/>
      <c r="I112" s="7" t="n">
        <f aca="false">IF(N(F112)&gt;0,F112*IF(H112="Yes",2,1)*IF(D112="Commercial",1.5,1)+ROW()/1000000,0)</f>
        <v>0</v>
      </c>
      <c r="J112" s="8" t="str">
        <f aca="false">IF(I112&gt;0,COUNTIF($I$6:$I$162,"&gt;"&amp;I112)+1,"")</f>
        <v/>
      </c>
      <c r="K112" s="9" t="str">
        <f aca="false">IF(AND(ISNUMBER(J112),J112&lt;=100),"Track","")</f>
        <v/>
      </c>
    </row>
    <row r="113" customFormat="false" ht="15" hidden="false" customHeight="false" outlineLevel="0" collapsed="false">
      <c r="A113" s="10" t="n">
        <v>108</v>
      </c>
      <c r="B113" s="10" t="s">
        <v>178</v>
      </c>
      <c r="C113" s="10" t="s">
        <v>169</v>
      </c>
      <c r="D113" s="10" t="s">
        <v>16</v>
      </c>
      <c r="E113" s="10" t="s">
        <v>179</v>
      </c>
      <c r="F113" s="6"/>
      <c r="G113" s="6"/>
      <c r="H113" s="6"/>
      <c r="I113" s="7" t="n">
        <f aca="false">IF(N(F113)&gt;0,F113*IF(H113="Yes",2,1)*IF(D113="Commercial",1.5,1)+ROW()/1000000,0)</f>
        <v>0</v>
      </c>
      <c r="J113" s="8" t="str">
        <f aca="false">IF(I113&gt;0,COUNTIF($I$6:$I$162,"&gt;"&amp;I113)+1,"")</f>
        <v/>
      </c>
      <c r="K113" s="9" t="str">
        <f aca="false">IF(AND(ISNUMBER(J113),J113&lt;=100),"Track","")</f>
        <v/>
      </c>
    </row>
    <row r="114" customFormat="false" ht="15" hidden="false" customHeight="false" outlineLevel="0" collapsed="false">
      <c r="A114" s="5" t="n">
        <v>109</v>
      </c>
      <c r="B114" s="5" t="s">
        <v>180</v>
      </c>
      <c r="C114" s="5" t="s">
        <v>169</v>
      </c>
      <c r="D114" s="5" t="s">
        <v>33</v>
      </c>
      <c r="E114" s="5" t="s">
        <v>173</v>
      </c>
      <c r="F114" s="6"/>
      <c r="G114" s="6"/>
      <c r="H114" s="6"/>
      <c r="I114" s="7" t="n">
        <f aca="false">IF(N(F114)&gt;0,F114*IF(H114="Yes",2,1)*IF(D114="Commercial",1.5,1)+ROW()/1000000,0)</f>
        <v>0</v>
      </c>
      <c r="J114" s="8" t="str">
        <f aca="false">IF(I114&gt;0,COUNTIF($I$6:$I$162,"&gt;"&amp;I114)+1,"")</f>
        <v/>
      </c>
      <c r="K114" s="9" t="str">
        <f aca="false">IF(AND(ISNUMBER(J114),J114&lt;=100),"Track","")</f>
        <v/>
      </c>
    </row>
    <row r="115" customFormat="false" ht="15" hidden="false" customHeight="false" outlineLevel="0" collapsed="false">
      <c r="A115" s="10" t="n">
        <v>110</v>
      </c>
      <c r="B115" s="10" t="s">
        <v>181</v>
      </c>
      <c r="C115" s="10" t="s">
        <v>169</v>
      </c>
      <c r="D115" s="10" t="s">
        <v>16</v>
      </c>
      <c r="E115" s="10" t="s">
        <v>182</v>
      </c>
      <c r="F115" s="6"/>
      <c r="G115" s="6"/>
      <c r="H115" s="6"/>
      <c r="I115" s="7" t="n">
        <f aca="false">IF(N(F115)&gt;0,F115*IF(H115="Yes",2,1)*IF(D115="Commercial",1.5,1)+ROW()/1000000,0)</f>
        <v>0</v>
      </c>
      <c r="J115" s="8" t="str">
        <f aca="false">IF(I115&gt;0,COUNTIF($I$6:$I$162,"&gt;"&amp;I115)+1,"")</f>
        <v/>
      </c>
      <c r="K115" s="9" t="str">
        <f aca="false">IF(AND(ISNUMBER(J115),J115&lt;=100),"Track","")</f>
        <v/>
      </c>
    </row>
    <row r="116" customFormat="false" ht="15" hidden="false" customHeight="false" outlineLevel="0" collapsed="false">
      <c r="A116" s="5" t="n">
        <v>111</v>
      </c>
      <c r="B116" s="5" t="s">
        <v>183</v>
      </c>
      <c r="C116" s="5" t="s">
        <v>169</v>
      </c>
      <c r="D116" s="5" t="s">
        <v>16</v>
      </c>
      <c r="E116" s="5" t="s">
        <v>173</v>
      </c>
      <c r="F116" s="6"/>
      <c r="G116" s="6"/>
      <c r="H116" s="6"/>
      <c r="I116" s="7" t="n">
        <f aca="false">IF(N(F116)&gt;0,F116*IF(H116="Yes",2,1)*IF(D116="Commercial",1.5,1)+ROW()/1000000,0)</f>
        <v>0</v>
      </c>
      <c r="J116" s="8" t="str">
        <f aca="false">IF(I116&gt;0,COUNTIF($I$6:$I$162,"&gt;"&amp;I116)+1,"")</f>
        <v/>
      </c>
      <c r="K116" s="9" t="str">
        <f aca="false">IF(AND(ISNUMBER(J116),J116&lt;=100),"Track","")</f>
        <v/>
      </c>
    </row>
    <row r="117" customFormat="false" ht="15" hidden="false" customHeight="false" outlineLevel="0" collapsed="false">
      <c r="A117" s="10" t="n">
        <v>112</v>
      </c>
      <c r="B117" s="10" t="s">
        <v>184</v>
      </c>
      <c r="C117" s="10" t="s">
        <v>185</v>
      </c>
      <c r="D117" s="10" t="s">
        <v>16</v>
      </c>
      <c r="E117" s="10" t="s">
        <v>186</v>
      </c>
      <c r="F117" s="6"/>
      <c r="G117" s="6"/>
      <c r="H117" s="6"/>
      <c r="I117" s="7" t="n">
        <f aca="false">IF(N(F117)&gt;0,F117*IF(H117="Yes",2,1)*IF(D117="Commercial",1.5,1)+ROW()/1000000,0)</f>
        <v>0</v>
      </c>
      <c r="J117" s="8" t="str">
        <f aca="false">IF(I117&gt;0,COUNTIF($I$6:$I$162,"&gt;"&amp;I117)+1,"")</f>
        <v/>
      </c>
      <c r="K117" s="9" t="str">
        <f aca="false">IF(AND(ISNUMBER(J117),J117&lt;=100),"Track","")</f>
        <v/>
      </c>
    </row>
    <row r="118" customFormat="false" ht="15" hidden="false" customHeight="false" outlineLevel="0" collapsed="false">
      <c r="A118" s="5" t="n">
        <v>113</v>
      </c>
      <c r="B118" s="5" t="s">
        <v>187</v>
      </c>
      <c r="C118" s="5" t="s">
        <v>185</v>
      </c>
      <c r="D118" s="5" t="s">
        <v>16</v>
      </c>
      <c r="E118" s="5" t="s">
        <v>188</v>
      </c>
      <c r="F118" s="6"/>
      <c r="G118" s="6"/>
      <c r="H118" s="6"/>
      <c r="I118" s="7" t="n">
        <f aca="false">IF(N(F118)&gt;0,F118*IF(H118="Yes",2,1)*IF(D118="Commercial",1.5,1)+ROW()/1000000,0)</f>
        <v>0</v>
      </c>
      <c r="J118" s="8" t="str">
        <f aca="false">IF(I118&gt;0,COUNTIF($I$6:$I$162,"&gt;"&amp;I118)+1,"")</f>
        <v/>
      </c>
      <c r="K118" s="9" t="str">
        <f aca="false">IF(AND(ISNUMBER(J118),J118&lt;=100),"Track","")</f>
        <v/>
      </c>
    </row>
    <row r="119" customFormat="false" ht="15" hidden="false" customHeight="false" outlineLevel="0" collapsed="false">
      <c r="A119" s="10" t="n">
        <v>114</v>
      </c>
      <c r="B119" s="10" t="s">
        <v>189</v>
      </c>
      <c r="C119" s="10" t="s">
        <v>185</v>
      </c>
      <c r="D119" s="10" t="s">
        <v>16</v>
      </c>
      <c r="E119" s="10" t="s">
        <v>188</v>
      </c>
      <c r="F119" s="6"/>
      <c r="G119" s="6"/>
      <c r="H119" s="6"/>
      <c r="I119" s="7" t="n">
        <f aca="false">IF(N(F119)&gt;0,F119*IF(H119="Yes",2,1)*IF(D119="Commercial",1.5,1)+ROW()/1000000,0)</f>
        <v>0</v>
      </c>
      <c r="J119" s="8" t="str">
        <f aca="false">IF(I119&gt;0,COUNTIF($I$6:$I$162,"&gt;"&amp;I119)+1,"")</f>
        <v/>
      </c>
      <c r="K119" s="9" t="str">
        <f aca="false">IF(AND(ISNUMBER(J119),J119&lt;=100),"Track","")</f>
        <v/>
      </c>
    </row>
    <row r="120" customFormat="false" ht="15" hidden="false" customHeight="false" outlineLevel="0" collapsed="false">
      <c r="A120" s="5" t="n">
        <v>115</v>
      </c>
      <c r="B120" s="5" t="s">
        <v>190</v>
      </c>
      <c r="C120" s="5" t="s">
        <v>185</v>
      </c>
      <c r="D120" s="5" t="s">
        <v>16</v>
      </c>
      <c r="E120" s="5" t="s">
        <v>191</v>
      </c>
      <c r="F120" s="6"/>
      <c r="G120" s="6"/>
      <c r="H120" s="6"/>
      <c r="I120" s="7" t="n">
        <f aca="false">IF(N(F120)&gt;0,F120*IF(H120="Yes",2,1)*IF(D120="Commercial",1.5,1)+ROW()/1000000,0)</f>
        <v>0</v>
      </c>
      <c r="J120" s="8" t="str">
        <f aca="false">IF(I120&gt;0,COUNTIF($I$6:$I$162,"&gt;"&amp;I120)+1,"")</f>
        <v/>
      </c>
      <c r="K120" s="9" t="str">
        <f aca="false">IF(AND(ISNUMBER(J120),J120&lt;=100),"Track","")</f>
        <v/>
      </c>
    </row>
    <row r="121" customFormat="false" ht="15" hidden="false" customHeight="false" outlineLevel="0" collapsed="false">
      <c r="A121" s="10" t="n">
        <v>116</v>
      </c>
      <c r="B121" s="10" t="s">
        <v>192</v>
      </c>
      <c r="C121" s="10" t="s">
        <v>185</v>
      </c>
      <c r="D121" s="10" t="s">
        <v>16</v>
      </c>
      <c r="E121" s="10" t="s">
        <v>191</v>
      </c>
      <c r="F121" s="6"/>
      <c r="G121" s="6"/>
      <c r="H121" s="6"/>
      <c r="I121" s="7" t="n">
        <f aca="false">IF(N(F121)&gt;0,F121*IF(H121="Yes",2,1)*IF(D121="Commercial",1.5,1)+ROW()/1000000,0)</f>
        <v>0</v>
      </c>
      <c r="J121" s="8" t="str">
        <f aca="false">IF(I121&gt;0,COUNTIF($I$6:$I$162,"&gt;"&amp;I121)+1,"")</f>
        <v/>
      </c>
      <c r="K121" s="9" t="str">
        <f aca="false">IF(AND(ISNUMBER(J121),J121&lt;=100),"Track","")</f>
        <v/>
      </c>
    </row>
    <row r="122" customFormat="false" ht="15" hidden="false" customHeight="false" outlineLevel="0" collapsed="false">
      <c r="A122" s="5" t="n">
        <v>117</v>
      </c>
      <c r="B122" s="5" t="s">
        <v>193</v>
      </c>
      <c r="C122" s="5" t="s">
        <v>185</v>
      </c>
      <c r="D122" s="5" t="s">
        <v>16</v>
      </c>
      <c r="E122" s="5" t="s">
        <v>194</v>
      </c>
      <c r="F122" s="6"/>
      <c r="G122" s="6"/>
      <c r="H122" s="6"/>
      <c r="I122" s="7" t="n">
        <f aca="false">IF(N(F122)&gt;0,F122*IF(H122="Yes",2,1)*IF(D122="Commercial",1.5,1)+ROW()/1000000,0)</f>
        <v>0</v>
      </c>
      <c r="J122" s="8" t="str">
        <f aca="false">IF(I122&gt;0,COUNTIF($I$6:$I$162,"&gt;"&amp;I122)+1,"")</f>
        <v/>
      </c>
      <c r="K122" s="9" t="str">
        <f aca="false">IF(AND(ISNUMBER(J122),J122&lt;=100),"Track","")</f>
        <v/>
      </c>
    </row>
    <row r="123" customFormat="false" ht="15" hidden="false" customHeight="false" outlineLevel="0" collapsed="false">
      <c r="A123" s="10" t="n">
        <v>118</v>
      </c>
      <c r="B123" s="10" t="s">
        <v>195</v>
      </c>
      <c r="C123" s="10" t="s">
        <v>185</v>
      </c>
      <c r="D123" s="10" t="s">
        <v>16</v>
      </c>
      <c r="E123" s="10" t="s">
        <v>194</v>
      </c>
      <c r="F123" s="6"/>
      <c r="G123" s="6"/>
      <c r="H123" s="6"/>
      <c r="I123" s="7" t="n">
        <f aca="false">IF(N(F123)&gt;0,F123*IF(H123="Yes",2,1)*IF(D123="Commercial",1.5,1)+ROW()/1000000,0)</f>
        <v>0</v>
      </c>
      <c r="J123" s="8" t="str">
        <f aca="false">IF(I123&gt;0,COUNTIF($I$6:$I$162,"&gt;"&amp;I123)+1,"")</f>
        <v/>
      </c>
      <c r="K123" s="9" t="str">
        <f aca="false">IF(AND(ISNUMBER(J123),J123&lt;=100),"Track","")</f>
        <v/>
      </c>
    </row>
    <row r="124" customFormat="false" ht="15" hidden="false" customHeight="false" outlineLevel="0" collapsed="false">
      <c r="A124" s="5" t="n">
        <v>119</v>
      </c>
      <c r="B124" s="5" t="s">
        <v>196</v>
      </c>
      <c r="C124" s="5" t="s">
        <v>185</v>
      </c>
      <c r="D124" s="5" t="s">
        <v>16</v>
      </c>
      <c r="E124" s="5" t="s">
        <v>197</v>
      </c>
      <c r="F124" s="6"/>
      <c r="G124" s="6"/>
      <c r="H124" s="6"/>
      <c r="I124" s="7" t="n">
        <f aca="false">IF(N(F124)&gt;0,F124*IF(H124="Yes",2,1)*IF(D124="Commercial",1.5,1)+ROW()/1000000,0)</f>
        <v>0</v>
      </c>
      <c r="J124" s="8" t="str">
        <f aca="false">IF(I124&gt;0,COUNTIF($I$6:$I$162,"&gt;"&amp;I124)+1,"")</f>
        <v/>
      </c>
      <c r="K124" s="9" t="str">
        <f aca="false">IF(AND(ISNUMBER(J124),J124&lt;=100),"Track","")</f>
        <v/>
      </c>
    </row>
    <row r="125" customFormat="false" ht="15" hidden="false" customHeight="false" outlineLevel="0" collapsed="false">
      <c r="A125" s="10" t="n">
        <v>120</v>
      </c>
      <c r="B125" s="10" t="s">
        <v>198</v>
      </c>
      <c r="C125" s="10" t="s">
        <v>185</v>
      </c>
      <c r="D125" s="10" t="s">
        <v>16</v>
      </c>
      <c r="E125" s="10" t="s">
        <v>199</v>
      </c>
      <c r="F125" s="6"/>
      <c r="G125" s="6"/>
      <c r="H125" s="6"/>
      <c r="I125" s="7" t="n">
        <f aca="false">IF(N(F125)&gt;0,F125*IF(H125="Yes",2,1)*IF(D125="Commercial",1.5,1)+ROW()/1000000,0)</f>
        <v>0</v>
      </c>
      <c r="J125" s="8" t="str">
        <f aca="false">IF(I125&gt;0,COUNTIF($I$6:$I$162,"&gt;"&amp;I125)+1,"")</f>
        <v/>
      </c>
      <c r="K125" s="9" t="str">
        <f aca="false">IF(AND(ISNUMBER(J125),J125&lt;=100),"Track","")</f>
        <v/>
      </c>
    </row>
    <row r="126" customFormat="false" ht="15" hidden="false" customHeight="false" outlineLevel="0" collapsed="false">
      <c r="A126" s="5" t="n">
        <v>121</v>
      </c>
      <c r="B126" s="5" t="s">
        <v>200</v>
      </c>
      <c r="C126" s="5" t="s">
        <v>185</v>
      </c>
      <c r="D126" s="5" t="s">
        <v>16</v>
      </c>
      <c r="E126" s="5" t="s">
        <v>201</v>
      </c>
      <c r="F126" s="6"/>
      <c r="G126" s="6"/>
      <c r="H126" s="6"/>
      <c r="I126" s="7" t="n">
        <f aca="false">IF(N(F126)&gt;0,F126*IF(H126="Yes",2,1)*IF(D126="Commercial",1.5,1)+ROW()/1000000,0)</f>
        <v>0</v>
      </c>
      <c r="J126" s="8" t="str">
        <f aca="false">IF(I126&gt;0,COUNTIF($I$6:$I$162,"&gt;"&amp;I126)+1,"")</f>
        <v/>
      </c>
      <c r="K126" s="9" t="str">
        <f aca="false">IF(AND(ISNUMBER(J126),J126&lt;=100),"Track","")</f>
        <v/>
      </c>
    </row>
    <row r="127" customFormat="false" ht="15" hidden="false" customHeight="false" outlineLevel="0" collapsed="false">
      <c r="A127" s="10" t="n">
        <v>122</v>
      </c>
      <c r="B127" s="10" t="s">
        <v>202</v>
      </c>
      <c r="C127" s="10" t="s">
        <v>185</v>
      </c>
      <c r="D127" s="10" t="s">
        <v>16</v>
      </c>
      <c r="E127" s="10" t="s">
        <v>201</v>
      </c>
      <c r="F127" s="6"/>
      <c r="G127" s="6"/>
      <c r="H127" s="6"/>
      <c r="I127" s="7" t="n">
        <f aca="false">IF(N(F127)&gt;0,F127*IF(H127="Yes",2,1)*IF(D127="Commercial",1.5,1)+ROW()/1000000,0)</f>
        <v>0</v>
      </c>
      <c r="J127" s="8" t="str">
        <f aca="false">IF(I127&gt;0,COUNTIF($I$6:$I$162,"&gt;"&amp;I127)+1,"")</f>
        <v/>
      </c>
      <c r="K127" s="9" t="str">
        <f aca="false">IF(AND(ISNUMBER(J127),J127&lt;=100),"Track","")</f>
        <v/>
      </c>
    </row>
    <row r="128" customFormat="false" ht="15" hidden="false" customHeight="false" outlineLevel="0" collapsed="false">
      <c r="A128" s="5" t="n">
        <v>123</v>
      </c>
      <c r="B128" s="5" t="s">
        <v>203</v>
      </c>
      <c r="C128" s="5" t="s">
        <v>185</v>
      </c>
      <c r="D128" s="5" t="s">
        <v>16</v>
      </c>
      <c r="E128" s="5" t="s">
        <v>204</v>
      </c>
      <c r="F128" s="6"/>
      <c r="G128" s="6"/>
      <c r="H128" s="6"/>
      <c r="I128" s="7" t="n">
        <f aca="false">IF(N(F128)&gt;0,F128*IF(H128="Yes",2,1)*IF(D128="Commercial",1.5,1)+ROW()/1000000,0)</f>
        <v>0</v>
      </c>
      <c r="J128" s="8" t="str">
        <f aca="false">IF(I128&gt;0,COUNTIF($I$6:$I$162,"&gt;"&amp;I128)+1,"")</f>
        <v/>
      </c>
      <c r="K128" s="9" t="str">
        <f aca="false">IF(AND(ISNUMBER(J128),J128&lt;=100),"Track","")</f>
        <v/>
      </c>
    </row>
    <row r="129" customFormat="false" ht="15" hidden="false" customHeight="false" outlineLevel="0" collapsed="false">
      <c r="A129" s="10" t="n">
        <v>124</v>
      </c>
      <c r="B129" s="10" t="s">
        <v>205</v>
      </c>
      <c r="C129" s="10" t="s">
        <v>185</v>
      </c>
      <c r="D129" s="10" t="s">
        <v>16</v>
      </c>
      <c r="E129" s="10" t="s">
        <v>206</v>
      </c>
      <c r="F129" s="6"/>
      <c r="G129" s="6"/>
      <c r="H129" s="6"/>
      <c r="I129" s="7" t="n">
        <f aca="false">IF(N(F129)&gt;0,F129*IF(H129="Yes",2,1)*IF(D129="Commercial",1.5,1)+ROW()/1000000,0)</f>
        <v>0</v>
      </c>
      <c r="J129" s="8" t="str">
        <f aca="false">IF(I129&gt;0,COUNTIF($I$6:$I$162,"&gt;"&amp;I129)+1,"")</f>
        <v/>
      </c>
      <c r="K129" s="9" t="str">
        <f aca="false">IF(AND(ISNUMBER(J129),J129&lt;=100),"Track","")</f>
        <v/>
      </c>
    </row>
    <row r="130" customFormat="false" ht="15" hidden="false" customHeight="false" outlineLevel="0" collapsed="false">
      <c r="A130" s="5" t="n">
        <v>125</v>
      </c>
      <c r="B130" s="5" t="s">
        <v>207</v>
      </c>
      <c r="C130" s="5" t="s">
        <v>185</v>
      </c>
      <c r="D130" s="5" t="s">
        <v>16</v>
      </c>
      <c r="E130" s="5" t="s">
        <v>206</v>
      </c>
      <c r="F130" s="6"/>
      <c r="G130" s="6"/>
      <c r="H130" s="6"/>
      <c r="I130" s="7" t="n">
        <f aca="false">IF(N(F130)&gt;0,F130*IF(H130="Yes",2,1)*IF(D130="Commercial",1.5,1)+ROW()/1000000,0)</f>
        <v>0</v>
      </c>
      <c r="J130" s="8" t="str">
        <f aca="false">IF(I130&gt;0,COUNTIF($I$6:$I$162,"&gt;"&amp;I130)+1,"")</f>
        <v/>
      </c>
      <c r="K130" s="9" t="str">
        <f aca="false">IF(AND(ISNUMBER(J130),J130&lt;=100),"Track","")</f>
        <v/>
      </c>
    </row>
    <row r="131" customFormat="false" ht="15" hidden="false" customHeight="false" outlineLevel="0" collapsed="false">
      <c r="A131" s="10" t="n">
        <v>126</v>
      </c>
      <c r="B131" s="10" t="s">
        <v>208</v>
      </c>
      <c r="C131" s="10" t="s">
        <v>185</v>
      </c>
      <c r="D131" s="10" t="s">
        <v>16</v>
      </c>
      <c r="E131" s="10" t="s">
        <v>179</v>
      </c>
      <c r="F131" s="6"/>
      <c r="G131" s="6"/>
      <c r="H131" s="6"/>
      <c r="I131" s="7" t="n">
        <f aca="false">IF(N(F131)&gt;0,F131*IF(H131="Yes",2,1)*IF(D131="Commercial",1.5,1)+ROW()/1000000,0)</f>
        <v>0</v>
      </c>
      <c r="J131" s="8" t="str">
        <f aca="false">IF(I131&gt;0,COUNTIF($I$6:$I$162,"&gt;"&amp;I131)+1,"")</f>
        <v/>
      </c>
      <c r="K131" s="9" t="str">
        <f aca="false">IF(AND(ISNUMBER(J131),J131&lt;=100),"Track","")</f>
        <v/>
      </c>
    </row>
    <row r="132" customFormat="false" ht="15" hidden="false" customHeight="false" outlineLevel="0" collapsed="false">
      <c r="A132" s="5" t="n">
        <v>127</v>
      </c>
      <c r="B132" s="5" t="s">
        <v>209</v>
      </c>
      <c r="C132" s="5" t="s">
        <v>185</v>
      </c>
      <c r="D132" s="5" t="s">
        <v>16</v>
      </c>
      <c r="E132" s="5" t="s">
        <v>210</v>
      </c>
      <c r="F132" s="6"/>
      <c r="G132" s="6"/>
      <c r="H132" s="6"/>
      <c r="I132" s="7" t="n">
        <f aca="false">IF(N(F132)&gt;0,F132*IF(H132="Yes",2,1)*IF(D132="Commercial",1.5,1)+ROW()/1000000,0)</f>
        <v>0</v>
      </c>
      <c r="J132" s="8" t="str">
        <f aca="false">IF(I132&gt;0,COUNTIF($I$6:$I$162,"&gt;"&amp;I132)+1,"")</f>
        <v/>
      </c>
      <c r="K132" s="9" t="str">
        <f aca="false">IF(AND(ISNUMBER(J132),J132&lt;=100),"Track","")</f>
        <v/>
      </c>
    </row>
    <row r="133" customFormat="false" ht="15" hidden="false" customHeight="false" outlineLevel="0" collapsed="false">
      <c r="A133" s="10" t="n">
        <v>128</v>
      </c>
      <c r="B133" s="10" t="s">
        <v>211</v>
      </c>
      <c r="C133" s="10" t="s">
        <v>185</v>
      </c>
      <c r="D133" s="10" t="s">
        <v>16</v>
      </c>
      <c r="E133" s="10" t="s">
        <v>212</v>
      </c>
      <c r="F133" s="6"/>
      <c r="G133" s="6"/>
      <c r="H133" s="6"/>
      <c r="I133" s="7" t="n">
        <f aca="false">IF(N(F133)&gt;0,F133*IF(H133="Yes",2,1)*IF(D133="Commercial",1.5,1)+ROW()/1000000,0)</f>
        <v>0</v>
      </c>
      <c r="J133" s="8" t="str">
        <f aca="false">IF(I133&gt;0,COUNTIF($I$6:$I$162,"&gt;"&amp;I133)+1,"")</f>
        <v/>
      </c>
      <c r="K133" s="9" t="str">
        <f aca="false">IF(AND(ISNUMBER(J133),J133&lt;=100),"Track","")</f>
        <v/>
      </c>
    </row>
    <row r="134" customFormat="false" ht="15" hidden="false" customHeight="false" outlineLevel="0" collapsed="false">
      <c r="A134" s="5" t="n">
        <v>129</v>
      </c>
      <c r="B134" s="5" t="s">
        <v>213</v>
      </c>
      <c r="C134" s="5" t="s">
        <v>185</v>
      </c>
      <c r="D134" s="5" t="s">
        <v>16</v>
      </c>
      <c r="E134" s="5" t="s">
        <v>214</v>
      </c>
      <c r="F134" s="6"/>
      <c r="G134" s="6"/>
      <c r="H134" s="6"/>
      <c r="I134" s="7" t="n">
        <f aca="false">IF(N(F134)&gt;0,F134*IF(H134="Yes",2,1)*IF(D134="Commercial",1.5,1)+ROW()/1000000,0)</f>
        <v>0</v>
      </c>
      <c r="J134" s="8" t="str">
        <f aca="false">IF(I134&gt;0,COUNTIF($I$6:$I$162,"&gt;"&amp;I134)+1,"")</f>
        <v/>
      </c>
      <c r="K134" s="9" t="str">
        <f aca="false">IF(AND(ISNUMBER(J134),J134&lt;=100),"Track","")</f>
        <v/>
      </c>
    </row>
    <row r="135" customFormat="false" ht="15" hidden="false" customHeight="false" outlineLevel="0" collapsed="false">
      <c r="A135" s="10" t="n">
        <v>130</v>
      </c>
      <c r="B135" s="10" t="s">
        <v>215</v>
      </c>
      <c r="C135" s="10" t="s">
        <v>185</v>
      </c>
      <c r="D135" s="10" t="s">
        <v>16</v>
      </c>
      <c r="E135" s="10" t="s">
        <v>216</v>
      </c>
      <c r="F135" s="6"/>
      <c r="G135" s="6"/>
      <c r="H135" s="6"/>
      <c r="I135" s="7" t="n">
        <f aca="false">IF(N(F135)&gt;0,F135*IF(H135="Yes",2,1)*IF(D135="Commercial",1.5,1)+ROW()/1000000,0)</f>
        <v>0</v>
      </c>
      <c r="J135" s="8" t="str">
        <f aca="false">IF(I135&gt;0,COUNTIF($I$6:$I$162,"&gt;"&amp;I135)+1,"")</f>
        <v/>
      </c>
      <c r="K135" s="9" t="str">
        <f aca="false">IF(AND(ISNUMBER(J135),J135&lt;=100),"Track","")</f>
        <v/>
      </c>
    </row>
    <row r="136" customFormat="false" ht="15" hidden="false" customHeight="false" outlineLevel="0" collapsed="false">
      <c r="A136" s="5" t="n">
        <v>131</v>
      </c>
      <c r="B136" s="5" t="s">
        <v>217</v>
      </c>
      <c r="C136" s="5" t="s">
        <v>185</v>
      </c>
      <c r="D136" s="5" t="s">
        <v>16</v>
      </c>
      <c r="E136" s="5" t="s">
        <v>216</v>
      </c>
      <c r="F136" s="6"/>
      <c r="G136" s="6"/>
      <c r="H136" s="6"/>
      <c r="I136" s="7" t="n">
        <f aca="false">IF(N(F136)&gt;0,F136*IF(H136="Yes",2,1)*IF(D136="Commercial",1.5,1)+ROW()/1000000,0)</f>
        <v>0</v>
      </c>
      <c r="J136" s="8" t="str">
        <f aca="false">IF(I136&gt;0,COUNTIF($I$6:$I$162,"&gt;"&amp;I136)+1,"")</f>
        <v/>
      </c>
      <c r="K136" s="9" t="str">
        <f aca="false">IF(AND(ISNUMBER(J136),J136&lt;=100),"Track","")</f>
        <v/>
      </c>
    </row>
    <row r="137" customFormat="false" ht="15" hidden="false" customHeight="false" outlineLevel="0" collapsed="false">
      <c r="A137" s="10" t="n">
        <v>132</v>
      </c>
      <c r="B137" s="10" t="s">
        <v>218</v>
      </c>
      <c r="C137" s="10" t="s">
        <v>185</v>
      </c>
      <c r="D137" s="10" t="s">
        <v>16</v>
      </c>
      <c r="E137" s="10" t="s">
        <v>216</v>
      </c>
      <c r="F137" s="6"/>
      <c r="G137" s="6"/>
      <c r="H137" s="6"/>
      <c r="I137" s="7" t="n">
        <f aca="false">IF(N(F137)&gt;0,F137*IF(H137="Yes",2,1)*IF(D137="Commercial",1.5,1)+ROW()/1000000,0)</f>
        <v>0</v>
      </c>
      <c r="J137" s="8" t="str">
        <f aca="false">IF(I137&gt;0,COUNTIF($I$6:$I$162,"&gt;"&amp;I137)+1,"")</f>
        <v/>
      </c>
      <c r="K137" s="9" t="str">
        <f aca="false">IF(AND(ISNUMBER(J137),J137&lt;=100),"Track","")</f>
        <v/>
      </c>
    </row>
    <row r="138" customFormat="false" ht="15" hidden="false" customHeight="false" outlineLevel="0" collapsed="false">
      <c r="A138" s="5" t="n">
        <v>133</v>
      </c>
      <c r="B138" s="5" t="s">
        <v>219</v>
      </c>
      <c r="C138" s="5" t="s">
        <v>185</v>
      </c>
      <c r="D138" s="5" t="s">
        <v>33</v>
      </c>
      <c r="E138" s="5" t="s">
        <v>220</v>
      </c>
      <c r="F138" s="6"/>
      <c r="G138" s="6"/>
      <c r="H138" s="6"/>
      <c r="I138" s="7" t="n">
        <f aca="false">IF(N(F138)&gt;0,F138*IF(H138="Yes",2,1)*IF(D138="Commercial",1.5,1)+ROW()/1000000,0)</f>
        <v>0</v>
      </c>
      <c r="J138" s="8" t="str">
        <f aca="false">IF(I138&gt;0,COUNTIF($I$6:$I$162,"&gt;"&amp;I138)+1,"")</f>
        <v/>
      </c>
      <c r="K138" s="9" t="str">
        <f aca="false">IF(AND(ISNUMBER(J138),J138&lt;=100),"Track","")</f>
        <v/>
      </c>
    </row>
    <row r="139" customFormat="false" ht="15" hidden="false" customHeight="false" outlineLevel="0" collapsed="false">
      <c r="A139" s="10" t="n">
        <v>134</v>
      </c>
      <c r="B139" s="10" t="s">
        <v>221</v>
      </c>
      <c r="C139" s="10" t="s">
        <v>185</v>
      </c>
      <c r="D139" s="10" t="s">
        <v>33</v>
      </c>
      <c r="E139" s="10" t="s">
        <v>222</v>
      </c>
      <c r="F139" s="6"/>
      <c r="G139" s="6"/>
      <c r="H139" s="6"/>
      <c r="I139" s="7" t="n">
        <f aca="false">IF(N(F139)&gt;0,F139*IF(H139="Yes",2,1)*IF(D139="Commercial",1.5,1)+ROW()/1000000,0)</f>
        <v>0</v>
      </c>
      <c r="J139" s="8" t="str">
        <f aca="false">IF(I139&gt;0,COUNTIF($I$6:$I$162,"&gt;"&amp;I139)+1,"")</f>
        <v/>
      </c>
      <c r="K139" s="9" t="str">
        <f aca="false">IF(AND(ISNUMBER(J139),J139&lt;=100),"Track","")</f>
        <v/>
      </c>
    </row>
    <row r="140" customFormat="false" ht="15" hidden="false" customHeight="false" outlineLevel="0" collapsed="false">
      <c r="A140" s="5" t="n">
        <v>135</v>
      </c>
      <c r="B140" s="5" t="s">
        <v>223</v>
      </c>
      <c r="C140" s="5" t="s">
        <v>185</v>
      </c>
      <c r="D140" s="5" t="s">
        <v>33</v>
      </c>
      <c r="E140" s="5" t="s">
        <v>222</v>
      </c>
      <c r="F140" s="6"/>
      <c r="G140" s="6"/>
      <c r="H140" s="6"/>
      <c r="I140" s="7" t="n">
        <f aca="false">IF(N(F140)&gt;0,F140*IF(H140="Yes",2,1)*IF(D140="Commercial",1.5,1)+ROW()/1000000,0)</f>
        <v>0</v>
      </c>
      <c r="J140" s="8" t="str">
        <f aca="false">IF(I140&gt;0,COUNTIF($I$6:$I$162,"&gt;"&amp;I140)+1,"")</f>
        <v/>
      </c>
      <c r="K140" s="9" t="str">
        <f aca="false">IF(AND(ISNUMBER(J140),J140&lt;=100),"Track","")</f>
        <v/>
      </c>
    </row>
    <row r="141" customFormat="false" ht="15" hidden="false" customHeight="false" outlineLevel="0" collapsed="false">
      <c r="A141" s="10" t="n">
        <v>136</v>
      </c>
      <c r="B141" s="10" t="s">
        <v>224</v>
      </c>
      <c r="C141" s="10" t="s">
        <v>185</v>
      </c>
      <c r="D141" s="10" t="s">
        <v>33</v>
      </c>
      <c r="E141" s="10" t="s">
        <v>54</v>
      </c>
      <c r="F141" s="6"/>
      <c r="G141" s="6"/>
      <c r="H141" s="6"/>
      <c r="I141" s="7" t="n">
        <f aca="false">IF(N(F141)&gt;0,F141*IF(H141="Yes",2,1)*IF(D141="Commercial",1.5,1)+ROW()/1000000,0)</f>
        <v>0</v>
      </c>
      <c r="J141" s="8" t="str">
        <f aca="false">IF(I141&gt;0,COUNTIF($I$6:$I$162,"&gt;"&amp;I141)+1,"")</f>
        <v/>
      </c>
      <c r="K141" s="9" t="str">
        <f aca="false">IF(AND(ISNUMBER(J141),J141&lt;=100),"Track","")</f>
        <v/>
      </c>
    </row>
    <row r="142" customFormat="false" ht="15" hidden="false" customHeight="false" outlineLevel="0" collapsed="false">
      <c r="A142" s="5" t="n">
        <v>137</v>
      </c>
      <c r="B142" s="5" t="s">
        <v>225</v>
      </c>
      <c r="C142" s="5" t="s">
        <v>185</v>
      </c>
      <c r="D142" s="5" t="s">
        <v>33</v>
      </c>
      <c r="E142" s="5" t="s">
        <v>222</v>
      </c>
      <c r="F142" s="6"/>
      <c r="G142" s="6"/>
      <c r="H142" s="6"/>
      <c r="I142" s="7" t="n">
        <f aca="false">IF(N(F142)&gt;0,F142*IF(H142="Yes",2,1)*IF(D142="Commercial",1.5,1)+ROW()/1000000,0)</f>
        <v>0</v>
      </c>
      <c r="J142" s="8" t="str">
        <f aca="false">IF(I142&gt;0,COUNTIF($I$6:$I$162,"&gt;"&amp;I142)+1,"")</f>
        <v/>
      </c>
      <c r="K142" s="9" t="str">
        <f aca="false">IF(AND(ISNUMBER(J142),J142&lt;=100),"Track","")</f>
        <v/>
      </c>
    </row>
    <row r="143" customFormat="false" ht="15" hidden="false" customHeight="false" outlineLevel="0" collapsed="false">
      <c r="A143" s="10" t="n">
        <v>138</v>
      </c>
      <c r="B143" s="10" t="s">
        <v>226</v>
      </c>
      <c r="C143" s="10" t="s">
        <v>185</v>
      </c>
      <c r="D143" s="10" t="s">
        <v>16</v>
      </c>
      <c r="E143" s="10" t="s">
        <v>227</v>
      </c>
      <c r="F143" s="6"/>
      <c r="G143" s="6"/>
      <c r="H143" s="6"/>
      <c r="I143" s="7" t="n">
        <f aca="false">IF(N(F143)&gt;0,F143*IF(H143="Yes",2,1)*IF(D143="Commercial",1.5,1)+ROW()/1000000,0)</f>
        <v>0</v>
      </c>
      <c r="J143" s="8" t="str">
        <f aca="false">IF(I143&gt;0,COUNTIF($I$6:$I$162,"&gt;"&amp;I143)+1,"")</f>
        <v/>
      </c>
      <c r="K143" s="9" t="str">
        <f aca="false">IF(AND(ISNUMBER(J143),J143&lt;=100),"Track","")</f>
        <v/>
      </c>
    </row>
    <row r="144" customFormat="false" ht="15" hidden="false" customHeight="false" outlineLevel="0" collapsed="false">
      <c r="A144" s="5" t="n">
        <v>139</v>
      </c>
      <c r="B144" s="5" t="s">
        <v>228</v>
      </c>
      <c r="C144" s="5" t="s">
        <v>185</v>
      </c>
      <c r="D144" s="5" t="s">
        <v>16</v>
      </c>
      <c r="E144" s="5" t="s">
        <v>229</v>
      </c>
      <c r="F144" s="6"/>
      <c r="G144" s="6"/>
      <c r="H144" s="6"/>
      <c r="I144" s="7" t="n">
        <f aca="false">IF(N(F144)&gt;0,F144*IF(H144="Yes",2,1)*IF(D144="Commercial",1.5,1)+ROW()/1000000,0)</f>
        <v>0</v>
      </c>
      <c r="J144" s="8" t="str">
        <f aca="false">IF(I144&gt;0,COUNTIF($I$6:$I$162,"&gt;"&amp;I144)+1,"")</f>
        <v/>
      </c>
      <c r="K144" s="9" t="str">
        <f aca="false">IF(AND(ISNUMBER(J144),J144&lt;=100),"Track","")</f>
        <v/>
      </c>
    </row>
    <row r="145" customFormat="false" ht="15" hidden="false" customHeight="false" outlineLevel="0" collapsed="false">
      <c r="A145" s="10" t="n">
        <v>140</v>
      </c>
      <c r="B145" s="10" t="s">
        <v>230</v>
      </c>
      <c r="C145" s="10" t="s">
        <v>185</v>
      </c>
      <c r="D145" s="10" t="s">
        <v>16</v>
      </c>
      <c r="E145" s="10" t="s">
        <v>231</v>
      </c>
      <c r="F145" s="6"/>
      <c r="G145" s="6"/>
      <c r="H145" s="6"/>
      <c r="I145" s="7" t="n">
        <f aca="false">IF(N(F145)&gt;0,F145*IF(H145="Yes",2,1)*IF(D145="Commercial",1.5,1)+ROW()/1000000,0)</f>
        <v>0</v>
      </c>
      <c r="J145" s="8" t="str">
        <f aca="false">IF(I145&gt;0,COUNTIF($I$6:$I$162,"&gt;"&amp;I145)+1,"")</f>
        <v/>
      </c>
      <c r="K145" s="9" t="str">
        <f aca="false">IF(AND(ISNUMBER(J145),J145&lt;=100),"Track","")</f>
        <v/>
      </c>
    </row>
    <row r="146" customFormat="false" ht="15" hidden="false" customHeight="false" outlineLevel="0" collapsed="false">
      <c r="A146" s="5" t="n">
        <v>141</v>
      </c>
      <c r="B146" s="5" t="s">
        <v>232</v>
      </c>
      <c r="C146" s="5" t="s">
        <v>185</v>
      </c>
      <c r="D146" s="5" t="s">
        <v>16</v>
      </c>
      <c r="E146" s="5" t="s">
        <v>233</v>
      </c>
      <c r="F146" s="6"/>
      <c r="G146" s="6"/>
      <c r="H146" s="6"/>
      <c r="I146" s="7" t="n">
        <f aca="false">IF(N(F146)&gt;0,F146*IF(H146="Yes",2,1)*IF(D146="Commercial",1.5,1)+ROW()/1000000,0)</f>
        <v>0</v>
      </c>
      <c r="J146" s="8" t="str">
        <f aca="false">IF(I146&gt;0,COUNTIF($I$6:$I$162,"&gt;"&amp;I146)+1,"")</f>
        <v/>
      </c>
      <c r="K146" s="9" t="str">
        <f aca="false">IF(AND(ISNUMBER(J146),J146&lt;=100),"Track","")</f>
        <v/>
      </c>
    </row>
    <row r="147" customFormat="false" ht="15" hidden="false" customHeight="false" outlineLevel="0" collapsed="false">
      <c r="A147" s="10" t="n">
        <v>142</v>
      </c>
      <c r="B147" s="10" t="s">
        <v>234</v>
      </c>
      <c r="C147" s="10" t="s">
        <v>185</v>
      </c>
      <c r="D147" s="10" t="s">
        <v>16</v>
      </c>
      <c r="E147" s="10" t="s">
        <v>235</v>
      </c>
      <c r="F147" s="6"/>
      <c r="G147" s="6"/>
      <c r="H147" s="6"/>
      <c r="I147" s="7" t="n">
        <f aca="false">IF(N(F147)&gt;0,F147*IF(H147="Yes",2,1)*IF(D147="Commercial",1.5,1)+ROW()/1000000,0)</f>
        <v>0</v>
      </c>
      <c r="J147" s="8" t="str">
        <f aca="false">IF(I147&gt;0,COUNTIF($I$6:$I$162,"&gt;"&amp;I147)+1,"")</f>
        <v/>
      </c>
      <c r="K147" s="9" t="str">
        <f aca="false">IF(AND(ISNUMBER(J147),J147&lt;=100),"Track","")</f>
        <v/>
      </c>
    </row>
    <row r="148" customFormat="false" ht="15" hidden="false" customHeight="false" outlineLevel="0" collapsed="false">
      <c r="A148" s="5" t="n">
        <v>143</v>
      </c>
      <c r="B148" s="5" t="s">
        <v>236</v>
      </c>
      <c r="C148" s="5" t="s">
        <v>185</v>
      </c>
      <c r="D148" s="5" t="s">
        <v>16</v>
      </c>
      <c r="E148" s="5" t="s">
        <v>237</v>
      </c>
      <c r="F148" s="6"/>
      <c r="G148" s="6"/>
      <c r="H148" s="6"/>
      <c r="I148" s="7" t="n">
        <f aca="false">IF(N(F148)&gt;0,F148*IF(H148="Yes",2,1)*IF(D148="Commercial",1.5,1)+ROW()/1000000,0)</f>
        <v>0</v>
      </c>
      <c r="J148" s="8" t="str">
        <f aca="false">IF(I148&gt;0,COUNTIF($I$6:$I$162,"&gt;"&amp;I148)+1,"")</f>
        <v/>
      </c>
      <c r="K148" s="9" t="str">
        <f aca="false">IF(AND(ISNUMBER(J148),J148&lt;=100),"Track","")</f>
        <v/>
      </c>
    </row>
    <row r="149" customFormat="false" ht="15" hidden="false" customHeight="false" outlineLevel="0" collapsed="false">
      <c r="A149" s="10" t="n">
        <v>144</v>
      </c>
      <c r="B149" s="10" t="s">
        <v>238</v>
      </c>
      <c r="C149" s="10" t="s">
        <v>239</v>
      </c>
      <c r="D149" s="10" t="s">
        <v>16</v>
      </c>
      <c r="E149" s="10" t="s">
        <v>240</v>
      </c>
      <c r="F149" s="6"/>
      <c r="G149" s="6"/>
      <c r="H149" s="6"/>
      <c r="I149" s="7" t="n">
        <f aca="false">IF(N(F149)&gt;0,F149*IF(H149="Yes",2,1)*IF(D149="Commercial",1.5,1)+ROW()/1000000,0)</f>
        <v>0</v>
      </c>
      <c r="J149" s="8" t="str">
        <f aca="false">IF(I149&gt;0,COUNTIF($I$6:$I$162,"&gt;"&amp;I149)+1,"")</f>
        <v/>
      </c>
      <c r="K149" s="9" t="str">
        <f aca="false">IF(AND(ISNUMBER(J149),J149&lt;=100),"Track","")</f>
        <v/>
      </c>
    </row>
    <row r="150" customFormat="false" ht="15" hidden="false" customHeight="false" outlineLevel="0" collapsed="false">
      <c r="A150" s="5" t="n">
        <v>145</v>
      </c>
      <c r="B150" s="5" t="s">
        <v>241</v>
      </c>
      <c r="C150" s="5" t="s">
        <v>239</v>
      </c>
      <c r="D150" s="5" t="s">
        <v>33</v>
      </c>
      <c r="E150" s="5" t="s">
        <v>242</v>
      </c>
      <c r="F150" s="6"/>
      <c r="G150" s="6"/>
      <c r="H150" s="6"/>
      <c r="I150" s="7" t="n">
        <f aca="false">IF(N(F150)&gt;0,F150*IF(H150="Yes",2,1)*IF(D150="Commercial",1.5,1)+ROW()/1000000,0)</f>
        <v>0</v>
      </c>
      <c r="J150" s="8" t="str">
        <f aca="false">IF(I150&gt;0,COUNTIF($I$6:$I$162,"&gt;"&amp;I150)+1,"")</f>
        <v/>
      </c>
      <c r="K150" s="9" t="str">
        <f aca="false">IF(AND(ISNUMBER(J150),J150&lt;=100),"Track","")</f>
        <v/>
      </c>
    </row>
    <row r="151" customFormat="false" ht="15" hidden="false" customHeight="false" outlineLevel="0" collapsed="false">
      <c r="A151" s="10" t="n">
        <v>146</v>
      </c>
      <c r="B151" s="10" t="s">
        <v>243</v>
      </c>
      <c r="C151" s="10" t="s">
        <v>239</v>
      </c>
      <c r="D151" s="10" t="s">
        <v>16</v>
      </c>
      <c r="E151" s="10" t="s">
        <v>61</v>
      </c>
      <c r="F151" s="6"/>
      <c r="G151" s="6"/>
      <c r="H151" s="6"/>
      <c r="I151" s="7" t="n">
        <f aca="false">IF(N(F151)&gt;0,F151*IF(H151="Yes",2,1)*IF(D151="Commercial",1.5,1)+ROW()/1000000,0)</f>
        <v>0</v>
      </c>
      <c r="J151" s="8" t="str">
        <f aca="false">IF(I151&gt;0,COUNTIF($I$6:$I$162,"&gt;"&amp;I151)+1,"")</f>
        <v/>
      </c>
      <c r="K151" s="9" t="str">
        <f aca="false">IF(AND(ISNUMBER(J151),J151&lt;=100),"Track","")</f>
        <v/>
      </c>
    </row>
    <row r="152" customFormat="false" ht="15" hidden="false" customHeight="false" outlineLevel="0" collapsed="false">
      <c r="A152" s="5" t="n">
        <v>147</v>
      </c>
      <c r="B152" s="5" t="s">
        <v>244</v>
      </c>
      <c r="C152" s="5" t="s">
        <v>239</v>
      </c>
      <c r="D152" s="5" t="s">
        <v>16</v>
      </c>
      <c r="E152" s="5" t="s">
        <v>61</v>
      </c>
      <c r="F152" s="6"/>
      <c r="G152" s="6"/>
      <c r="H152" s="6"/>
      <c r="I152" s="7" t="n">
        <f aca="false">IF(N(F152)&gt;0,F152*IF(H152="Yes",2,1)*IF(D152="Commercial",1.5,1)+ROW()/1000000,0)</f>
        <v>0</v>
      </c>
      <c r="J152" s="8" t="str">
        <f aca="false">IF(I152&gt;0,COUNTIF($I$6:$I$162,"&gt;"&amp;I152)+1,"")</f>
        <v/>
      </c>
      <c r="K152" s="9" t="str">
        <f aca="false">IF(AND(ISNUMBER(J152),J152&lt;=100),"Track","")</f>
        <v/>
      </c>
    </row>
    <row r="153" customFormat="false" ht="15" hidden="false" customHeight="false" outlineLevel="0" collapsed="false">
      <c r="A153" s="10" t="n">
        <v>148</v>
      </c>
      <c r="B153" s="10" t="s">
        <v>245</v>
      </c>
      <c r="C153" s="10" t="s">
        <v>239</v>
      </c>
      <c r="D153" s="10" t="s">
        <v>33</v>
      </c>
      <c r="E153" s="10" t="s">
        <v>61</v>
      </c>
      <c r="F153" s="6"/>
      <c r="G153" s="6"/>
      <c r="H153" s="6"/>
      <c r="I153" s="7" t="n">
        <f aca="false">IF(N(F153)&gt;0,F153*IF(H153="Yes",2,1)*IF(D153="Commercial",1.5,1)+ROW()/1000000,0)</f>
        <v>0</v>
      </c>
      <c r="J153" s="8" t="str">
        <f aca="false">IF(I153&gt;0,COUNTIF($I$6:$I$162,"&gt;"&amp;I153)+1,"")</f>
        <v/>
      </c>
      <c r="K153" s="9" t="str">
        <f aca="false">IF(AND(ISNUMBER(J153),J153&lt;=100),"Track","")</f>
        <v/>
      </c>
    </row>
    <row r="154" customFormat="false" ht="15" hidden="false" customHeight="false" outlineLevel="0" collapsed="false">
      <c r="A154" s="5" t="n">
        <v>149</v>
      </c>
      <c r="B154" s="5" t="s">
        <v>246</v>
      </c>
      <c r="C154" s="5" t="s">
        <v>239</v>
      </c>
      <c r="D154" s="5" t="s">
        <v>33</v>
      </c>
      <c r="E154" s="5" t="s">
        <v>61</v>
      </c>
      <c r="F154" s="6"/>
      <c r="G154" s="6"/>
      <c r="H154" s="6"/>
      <c r="I154" s="7" t="n">
        <f aca="false">IF(N(F154)&gt;0,F154*IF(H154="Yes",2,1)*IF(D154="Commercial",1.5,1)+ROW()/1000000,0)</f>
        <v>0</v>
      </c>
      <c r="J154" s="8" t="str">
        <f aca="false">IF(I154&gt;0,COUNTIF($I$6:$I$162,"&gt;"&amp;I154)+1,"")</f>
        <v/>
      </c>
      <c r="K154" s="9" t="str">
        <f aca="false">IF(AND(ISNUMBER(J154),J154&lt;=100),"Track","")</f>
        <v/>
      </c>
    </row>
    <row r="155" customFormat="false" ht="15" hidden="false" customHeight="false" outlineLevel="0" collapsed="false">
      <c r="A155" s="10" t="n">
        <v>150</v>
      </c>
      <c r="B155" s="10" t="s">
        <v>247</v>
      </c>
      <c r="C155" s="10" t="s">
        <v>248</v>
      </c>
      <c r="D155" s="10" t="s">
        <v>33</v>
      </c>
      <c r="E155" s="10" t="s">
        <v>249</v>
      </c>
      <c r="F155" s="6"/>
      <c r="G155" s="6"/>
      <c r="H155" s="6"/>
      <c r="I155" s="7" t="n">
        <f aca="false">IF(N(F155)&gt;0,F155*IF(H155="Yes",2,1)*IF(D155="Commercial",1.5,1)+ROW()/1000000,0)</f>
        <v>0</v>
      </c>
      <c r="J155" s="8" t="str">
        <f aca="false">IF(I155&gt;0,COUNTIF($I$6:$I$162,"&gt;"&amp;I155)+1,"")</f>
        <v/>
      </c>
      <c r="K155" s="9" t="str">
        <f aca="false">IF(AND(ISNUMBER(J155),J155&lt;=100),"Track","")</f>
        <v/>
      </c>
    </row>
    <row r="156" customFormat="false" ht="15" hidden="false" customHeight="false" outlineLevel="0" collapsed="false">
      <c r="A156" s="5" t="n">
        <v>151</v>
      </c>
      <c r="B156" s="5" t="s">
        <v>250</v>
      </c>
      <c r="C156" s="5" t="s">
        <v>248</v>
      </c>
      <c r="D156" s="5" t="s">
        <v>16</v>
      </c>
      <c r="E156" s="5" t="s">
        <v>251</v>
      </c>
      <c r="F156" s="6"/>
      <c r="G156" s="6"/>
      <c r="H156" s="6"/>
      <c r="I156" s="7" t="n">
        <f aca="false">IF(N(F156)&gt;0,F156*IF(H156="Yes",2,1)*IF(D156="Commercial",1.5,1)+ROW()/1000000,0)</f>
        <v>0</v>
      </c>
      <c r="J156" s="8" t="str">
        <f aca="false">IF(I156&gt;0,COUNTIF($I$6:$I$162,"&gt;"&amp;I156)+1,"")</f>
        <v/>
      </c>
      <c r="K156" s="9" t="str">
        <f aca="false">IF(AND(ISNUMBER(J156),J156&lt;=100),"Track","")</f>
        <v/>
      </c>
    </row>
    <row r="157" customFormat="false" ht="15" hidden="false" customHeight="false" outlineLevel="0" collapsed="false">
      <c r="A157" s="10" t="n">
        <v>152</v>
      </c>
      <c r="B157" s="10" t="s">
        <v>252</v>
      </c>
      <c r="C157" s="10" t="s">
        <v>248</v>
      </c>
      <c r="D157" s="10" t="s">
        <v>33</v>
      </c>
      <c r="E157" s="10" t="s">
        <v>249</v>
      </c>
      <c r="F157" s="6"/>
      <c r="G157" s="6"/>
      <c r="H157" s="6"/>
      <c r="I157" s="7" t="n">
        <f aca="false">IF(N(F157)&gt;0,F157*IF(H157="Yes",2,1)*IF(D157="Commercial",1.5,1)+ROW()/1000000,0)</f>
        <v>0</v>
      </c>
      <c r="J157" s="8" t="str">
        <f aca="false">IF(I157&gt;0,COUNTIF($I$6:$I$162,"&gt;"&amp;I157)+1,"")</f>
        <v/>
      </c>
      <c r="K157" s="9" t="str">
        <f aca="false">IF(AND(ISNUMBER(J157),J157&lt;=100),"Track","")</f>
        <v/>
      </c>
    </row>
    <row r="158" customFormat="false" ht="15" hidden="false" customHeight="false" outlineLevel="0" collapsed="false">
      <c r="A158" s="5" t="n">
        <v>153</v>
      </c>
      <c r="B158" s="5" t="s">
        <v>253</v>
      </c>
      <c r="C158" s="5" t="s">
        <v>254</v>
      </c>
      <c r="D158" s="5" t="s">
        <v>16</v>
      </c>
      <c r="E158" s="5" t="s">
        <v>255</v>
      </c>
      <c r="F158" s="6"/>
      <c r="G158" s="6"/>
      <c r="H158" s="6"/>
      <c r="I158" s="7" t="n">
        <f aca="false">IF(N(F158)&gt;0,F158*IF(H158="Yes",2,1)*IF(D158="Commercial",1.5,1)+ROW()/1000000,0)</f>
        <v>0</v>
      </c>
      <c r="J158" s="8" t="str">
        <f aca="false">IF(I158&gt;0,COUNTIF($I$6:$I$162,"&gt;"&amp;I158)+1,"")</f>
        <v/>
      </c>
      <c r="K158" s="9" t="str">
        <f aca="false">IF(AND(ISNUMBER(J158),J158&lt;=100),"Track","")</f>
        <v/>
      </c>
    </row>
    <row r="159" customFormat="false" ht="15" hidden="false" customHeight="false" outlineLevel="0" collapsed="false">
      <c r="A159" s="10" t="n">
        <v>154</v>
      </c>
      <c r="B159" s="10" t="s">
        <v>256</v>
      </c>
      <c r="C159" s="10" t="s">
        <v>254</v>
      </c>
      <c r="D159" s="10" t="s">
        <v>16</v>
      </c>
      <c r="E159" s="10" t="s">
        <v>257</v>
      </c>
      <c r="F159" s="6"/>
      <c r="G159" s="6"/>
      <c r="H159" s="6"/>
      <c r="I159" s="7" t="n">
        <f aca="false">IF(N(F159)&gt;0,F159*IF(H159="Yes",2,1)*IF(D159="Commercial",1.5,1)+ROW()/1000000,0)</f>
        <v>0</v>
      </c>
      <c r="J159" s="8" t="str">
        <f aca="false">IF(I159&gt;0,COUNTIF($I$6:$I$162,"&gt;"&amp;I159)+1,"")</f>
        <v/>
      </c>
      <c r="K159" s="9" t="str">
        <f aca="false">IF(AND(ISNUMBER(J159),J159&lt;=100),"Track","")</f>
        <v/>
      </c>
    </row>
    <row r="160" customFormat="false" ht="15" hidden="false" customHeight="false" outlineLevel="0" collapsed="false">
      <c r="A160" s="5" t="n">
        <v>155</v>
      </c>
      <c r="B160" s="5" t="s">
        <v>258</v>
      </c>
      <c r="C160" s="5" t="s">
        <v>254</v>
      </c>
      <c r="D160" s="5" t="s">
        <v>16</v>
      </c>
      <c r="E160" s="5" t="s">
        <v>259</v>
      </c>
      <c r="F160" s="6"/>
      <c r="G160" s="6"/>
      <c r="H160" s="6"/>
      <c r="I160" s="7" t="n">
        <f aca="false">IF(N(F160)&gt;0,F160*IF(H160="Yes",2,1)*IF(D160="Commercial",1.5,1)+ROW()/1000000,0)</f>
        <v>0</v>
      </c>
      <c r="J160" s="8" t="str">
        <f aca="false">IF(I160&gt;0,COUNTIF($I$6:$I$162,"&gt;"&amp;I160)+1,"")</f>
        <v/>
      </c>
      <c r="K160" s="9" t="str">
        <f aca="false">IF(AND(ISNUMBER(J160),J160&lt;=100),"Track","")</f>
        <v/>
      </c>
    </row>
    <row r="161" customFormat="false" ht="15" hidden="false" customHeight="false" outlineLevel="0" collapsed="false">
      <c r="A161" s="10" t="n">
        <v>156</v>
      </c>
      <c r="B161" s="10" t="s">
        <v>260</v>
      </c>
      <c r="C161" s="10" t="s">
        <v>254</v>
      </c>
      <c r="D161" s="10" t="s">
        <v>16</v>
      </c>
      <c r="E161" s="10" t="s">
        <v>255</v>
      </c>
      <c r="F161" s="6"/>
      <c r="G161" s="6"/>
      <c r="H161" s="6"/>
      <c r="I161" s="7" t="n">
        <f aca="false">IF(N(F161)&gt;0,F161*IF(H161="Yes",2,1)*IF(D161="Commercial",1.5,1)+ROW()/1000000,0)</f>
        <v>0</v>
      </c>
      <c r="J161" s="8" t="str">
        <f aca="false">IF(I161&gt;0,COUNTIF($I$6:$I$162,"&gt;"&amp;I161)+1,"")</f>
        <v/>
      </c>
      <c r="K161" s="9" t="str">
        <f aca="false">IF(AND(ISNUMBER(J161),J161&lt;=100),"Track","")</f>
        <v/>
      </c>
    </row>
    <row r="162" customFormat="false" ht="15" hidden="false" customHeight="false" outlineLevel="0" collapsed="false">
      <c r="A162" s="5" t="n">
        <v>157</v>
      </c>
      <c r="B162" s="5" t="s">
        <v>261</v>
      </c>
      <c r="C162" s="5" t="s">
        <v>254</v>
      </c>
      <c r="D162" s="5" t="s">
        <v>16</v>
      </c>
      <c r="E162" s="5" t="s">
        <v>255</v>
      </c>
      <c r="F162" s="6"/>
      <c r="G162" s="6"/>
      <c r="H162" s="6"/>
      <c r="I162" s="7" t="n">
        <f aca="false">IF(N(F162)&gt;0,F162*IF(H162="Yes",2,1)*IF(D162="Commercial",1.5,1)+ROW()/1000000,0)</f>
        <v>0</v>
      </c>
      <c r="J162" s="8" t="str">
        <f aca="false">IF(I162&gt;0,COUNTIF($I$6:$I$162,"&gt;"&amp;I162)+1,"")</f>
        <v/>
      </c>
      <c r="K162" s="9" t="str">
        <f aca="false">IF(AND(ISNUMBER(J162),J162&lt;=100),"Track","")</f>
        <v/>
      </c>
    </row>
  </sheetData>
  <autoFilter ref="A5:K162"/>
  <conditionalFormatting sqref="K6:K162">
    <cfRule type="cellIs" priority="2" operator="equal" aboveAverage="0" equalAverage="0" bottom="0" percent="0" rank="0" text="" dxfId="6">
      <formula>"Track"</formula>
    </cfRule>
  </conditionalFormatting>
  <conditionalFormatting sqref="H6:H162">
    <cfRule type="cellIs" priority="3" operator="equal" aboveAverage="0" equalAverage="0" bottom="0" percent="0" rank="0" text="" dxfId="6">
      <formula>"Yes"</formula>
    </cfRule>
  </conditionalFormatting>
  <dataValidations count="1">
    <dataValidation allowBlank="true" errorStyle="stop" operator="between" showDropDown="false" showErrorMessage="false" showInputMessage="false" sqref="H6:H16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262</v>
      </c>
    </row>
    <row r="3" customFormat="false" ht="23.85" hidden="false" customHeight="false" outlineLevel="0" collapsed="false">
      <c r="A3" s="11" t="s">
        <v>5</v>
      </c>
      <c r="B3" s="11" t="s">
        <v>263</v>
      </c>
      <c r="C3" s="11" t="s">
        <v>264</v>
      </c>
      <c r="D3" s="11" t="s">
        <v>265</v>
      </c>
      <c r="E3" s="11" t="s">
        <v>266</v>
      </c>
      <c r="F3" s="11" t="s">
        <v>267</v>
      </c>
    </row>
    <row r="4" customFormat="false" ht="15" hidden="false" customHeight="false" outlineLevel="0" collapsed="false">
      <c r="A4" s="12" t="s">
        <v>15</v>
      </c>
      <c r="B4" s="12" t="n">
        <f aca="false">COUNTIF('AIO Keywords'!$C$6:$C$162,A4)</f>
        <v>40</v>
      </c>
      <c r="C4" s="12" t="n">
        <f aca="false">COUNTIFS('AIO Keywords'!$C$6:$C$162,A4,'AIO Keywords'!$F$6:$F$162,"&gt;0")</f>
        <v>0</v>
      </c>
      <c r="D4" s="12" t="n">
        <f aca="false">COUNTIFS('AIO Keywords'!$C$6:$C$162,A4,'AIO Keywords'!$H$6:$H$162,"Yes")</f>
        <v>0</v>
      </c>
      <c r="E4" s="12" t="n">
        <f aca="false">COUNTIFS('AIO Keywords'!$C$6:$C$162,A4,'AIO Keywords'!$K$6:$K$162,"Track")</f>
        <v>0</v>
      </c>
      <c r="F4" s="13" t="n">
        <f aca="false">SUMIFS('AIO Keywords'!$F$6:$F$162,'AIO Keywords'!$C$6:$C$162,A4,'AIO Keywords'!$K$6:$K$162,"Track")</f>
        <v>0</v>
      </c>
    </row>
    <row r="5" customFormat="false" ht="15" hidden="false" customHeight="false" outlineLevel="0" collapsed="false">
      <c r="A5" s="12" t="s">
        <v>73</v>
      </c>
      <c r="B5" s="12" t="n">
        <f aca="false">COUNTIF('AIO Keywords'!$C$6:$C$162,A5)</f>
        <v>20</v>
      </c>
      <c r="C5" s="12" t="n">
        <f aca="false">COUNTIFS('AIO Keywords'!$C$6:$C$162,A5,'AIO Keywords'!$F$6:$F$162,"&gt;0")</f>
        <v>0</v>
      </c>
      <c r="D5" s="12" t="n">
        <f aca="false">COUNTIFS('AIO Keywords'!$C$6:$C$162,A5,'AIO Keywords'!$H$6:$H$162,"Yes")</f>
        <v>0</v>
      </c>
      <c r="E5" s="12" t="n">
        <f aca="false">COUNTIFS('AIO Keywords'!$C$6:$C$162,A5,'AIO Keywords'!$K$6:$K$162,"Track")</f>
        <v>0</v>
      </c>
      <c r="F5" s="13" t="n">
        <f aca="false">SUMIFS('AIO Keywords'!$F$6:$F$162,'AIO Keywords'!$C$6:$C$162,A5,'AIO Keywords'!$K$6:$K$162,"Track")</f>
        <v>0</v>
      </c>
    </row>
    <row r="6" customFormat="false" ht="15" hidden="false" customHeight="false" outlineLevel="0" collapsed="false">
      <c r="A6" s="12" t="s">
        <v>104</v>
      </c>
      <c r="B6" s="12" t="n">
        <f aca="false">COUNTIF('AIO Keywords'!$C$6:$C$162,A6)</f>
        <v>21</v>
      </c>
      <c r="C6" s="12" t="n">
        <f aca="false">COUNTIFS('AIO Keywords'!$C$6:$C$162,A6,'AIO Keywords'!$F$6:$F$162,"&gt;0")</f>
        <v>0</v>
      </c>
      <c r="D6" s="12" t="n">
        <f aca="false">COUNTIFS('AIO Keywords'!$C$6:$C$162,A6,'AIO Keywords'!$H$6:$H$162,"Yes")</f>
        <v>0</v>
      </c>
      <c r="E6" s="12" t="n">
        <f aca="false">COUNTIFS('AIO Keywords'!$C$6:$C$162,A6,'AIO Keywords'!$K$6:$K$162,"Track")</f>
        <v>0</v>
      </c>
      <c r="F6" s="13" t="n">
        <f aca="false">SUMIFS('AIO Keywords'!$F$6:$F$162,'AIO Keywords'!$C$6:$C$162,A6,'AIO Keywords'!$K$6:$K$162,"Track")</f>
        <v>0</v>
      </c>
    </row>
    <row r="7" customFormat="false" ht="15" hidden="false" customHeight="false" outlineLevel="0" collapsed="false">
      <c r="A7" s="12" t="s">
        <v>140</v>
      </c>
      <c r="B7" s="12" t="n">
        <f aca="false">COUNTIF('AIO Keywords'!$C$6:$C$162,A7)</f>
        <v>20</v>
      </c>
      <c r="C7" s="12" t="n">
        <f aca="false">COUNTIFS('AIO Keywords'!$C$6:$C$162,A7,'AIO Keywords'!$F$6:$F$162,"&gt;0")</f>
        <v>0</v>
      </c>
      <c r="D7" s="12" t="n">
        <f aca="false">COUNTIFS('AIO Keywords'!$C$6:$C$162,A7,'AIO Keywords'!$H$6:$H$162,"Yes")</f>
        <v>0</v>
      </c>
      <c r="E7" s="12" t="n">
        <f aca="false">COUNTIFS('AIO Keywords'!$C$6:$C$162,A7,'AIO Keywords'!$K$6:$K$162,"Track")</f>
        <v>0</v>
      </c>
      <c r="F7" s="13" t="n">
        <f aca="false">SUMIFS('AIO Keywords'!$F$6:$F$162,'AIO Keywords'!$C$6:$C$162,A7,'AIO Keywords'!$K$6:$K$162,"Track")</f>
        <v>0</v>
      </c>
    </row>
    <row r="8" customFormat="false" ht="15" hidden="false" customHeight="false" outlineLevel="0" collapsed="false">
      <c r="A8" s="12" t="s">
        <v>169</v>
      </c>
      <c r="B8" s="12" t="n">
        <f aca="false">COUNTIF('AIO Keywords'!$C$6:$C$162,A8)</f>
        <v>10</v>
      </c>
      <c r="C8" s="12" t="n">
        <f aca="false">COUNTIFS('AIO Keywords'!$C$6:$C$162,A8,'AIO Keywords'!$F$6:$F$162,"&gt;0")</f>
        <v>0</v>
      </c>
      <c r="D8" s="12" t="n">
        <f aca="false">COUNTIFS('AIO Keywords'!$C$6:$C$162,A8,'AIO Keywords'!$H$6:$H$162,"Yes")</f>
        <v>0</v>
      </c>
      <c r="E8" s="12" t="n">
        <f aca="false">COUNTIFS('AIO Keywords'!$C$6:$C$162,A8,'AIO Keywords'!$K$6:$K$162,"Track")</f>
        <v>0</v>
      </c>
      <c r="F8" s="13" t="n">
        <f aca="false">SUMIFS('AIO Keywords'!$F$6:$F$162,'AIO Keywords'!$C$6:$C$162,A8,'AIO Keywords'!$K$6:$K$162,"Track")</f>
        <v>0</v>
      </c>
    </row>
    <row r="9" customFormat="false" ht="15" hidden="false" customHeight="false" outlineLevel="0" collapsed="false">
      <c r="A9" s="12" t="s">
        <v>185</v>
      </c>
      <c r="B9" s="12" t="n">
        <f aca="false">COUNTIF('AIO Keywords'!$C$6:$C$162,A9)</f>
        <v>32</v>
      </c>
      <c r="C9" s="12" t="n">
        <f aca="false">COUNTIFS('AIO Keywords'!$C$6:$C$162,A9,'AIO Keywords'!$F$6:$F$162,"&gt;0")</f>
        <v>0</v>
      </c>
      <c r="D9" s="12" t="n">
        <f aca="false">COUNTIFS('AIO Keywords'!$C$6:$C$162,A9,'AIO Keywords'!$H$6:$H$162,"Yes")</f>
        <v>0</v>
      </c>
      <c r="E9" s="12" t="n">
        <f aca="false">COUNTIFS('AIO Keywords'!$C$6:$C$162,A9,'AIO Keywords'!$K$6:$K$162,"Track")</f>
        <v>0</v>
      </c>
      <c r="F9" s="13" t="n">
        <f aca="false">SUMIFS('AIO Keywords'!$F$6:$F$162,'AIO Keywords'!$C$6:$C$162,A9,'AIO Keywords'!$K$6:$K$162,"Track")</f>
        <v>0</v>
      </c>
    </row>
    <row r="10" customFormat="false" ht="15" hidden="false" customHeight="false" outlineLevel="0" collapsed="false">
      <c r="A10" s="12" t="s">
        <v>239</v>
      </c>
      <c r="B10" s="12" t="n">
        <f aca="false">COUNTIF('AIO Keywords'!$C$6:$C$162,A10)</f>
        <v>6</v>
      </c>
      <c r="C10" s="12" t="n">
        <f aca="false">COUNTIFS('AIO Keywords'!$C$6:$C$162,A10,'AIO Keywords'!$F$6:$F$162,"&gt;0")</f>
        <v>0</v>
      </c>
      <c r="D10" s="12" t="n">
        <f aca="false">COUNTIFS('AIO Keywords'!$C$6:$C$162,A10,'AIO Keywords'!$H$6:$H$162,"Yes")</f>
        <v>0</v>
      </c>
      <c r="E10" s="12" t="n">
        <f aca="false">COUNTIFS('AIO Keywords'!$C$6:$C$162,A10,'AIO Keywords'!$K$6:$K$162,"Track")</f>
        <v>0</v>
      </c>
      <c r="F10" s="13" t="n">
        <f aca="false">SUMIFS('AIO Keywords'!$F$6:$F$162,'AIO Keywords'!$C$6:$C$162,A10,'AIO Keywords'!$K$6:$K$162,"Track")</f>
        <v>0</v>
      </c>
    </row>
    <row r="11" customFormat="false" ht="15" hidden="false" customHeight="false" outlineLevel="0" collapsed="false">
      <c r="A11" s="12" t="s">
        <v>248</v>
      </c>
      <c r="B11" s="12" t="n">
        <f aca="false">COUNTIF('AIO Keywords'!$C$6:$C$162,A11)</f>
        <v>3</v>
      </c>
      <c r="C11" s="12" t="n">
        <f aca="false">COUNTIFS('AIO Keywords'!$C$6:$C$162,A11,'AIO Keywords'!$F$6:$F$162,"&gt;0")</f>
        <v>0</v>
      </c>
      <c r="D11" s="12" t="n">
        <f aca="false">COUNTIFS('AIO Keywords'!$C$6:$C$162,A11,'AIO Keywords'!$H$6:$H$162,"Yes")</f>
        <v>0</v>
      </c>
      <c r="E11" s="12" t="n">
        <f aca="false">COUNTIFS('AIO Keywords'!$C$6:$C$162,A11,'AIO Keywords'!$K$6:$K$162,"Track")</f>
        <v>0</v>
      </c>
      <c r="F11" s="13" t="n">
        <f aca="false">SUMIFS('AIO Keywords'!$F$6:$F$162,'AIO Keywords'!$C$6:$C$162,A11,'AIO Keywords'!$K$6:$K$162,"Track")</f>
        <v>0</v>
      </c>
    </row>
    <row r="12" customFormat="false" ht="15" hidden="false" customHeight="false" outlineLevel="0" collapsed="false">
      <c r="A12" s="12" t="s">
        <v>254</v>
      </c>
      <c r="B12" s="12" t="n">
        <f aca="false">COUNTIF('AIO Keywords'!$C$6:$C$162,A12)</f>
        <v>5</v>
      </c>
      <c r="C12" s="12" t="n">
        <f aca="false">COUNTIFS('AIO Keywords'!$C$6:$C$162,A12,'AIO Keywords'!$F$6:$F$162,"&gt;0")</f>
        <v>0</v>
      </c>
      <c r="D12" s="12" t="n">
        <f aca="false">COUNTIFS('AIO Keywords'!$C$6:$C$162,A12,'AIO Keywords'!$H$6:$H$162,"Yes")</f>
        <v>0</v>
      </c>
      <c r="E12" s="12" t="n">
        <f aca="false">COUNTIFS('AIO Keywords'!$C$6:$C$162,A12,'AIO Keywords'!$K$6:$K$162,"Track")</f>
        <v>0</v>
      </c>
      <c r="F12" s="13" t="n">
        <f aca="false">SUMIFS('AIO Keywords'!$F$6:$F$162,'AIO Keywords'!$C$6:$C$162,A12,'AIO Keywords'!$K$6:$K$162,"Track")</f>
        <v>0</v>
      </c>
    </row>
    <row r="13" customFormat="false" ht="15" hidden="false" customHeight="false" outlineLevel="0" collapsed="false">
      <c r="A13" s="14" t="s">
        <v>268</v>
      </c>
      <c r="B13" s="14" t="n">
        <f aca="false">SUM(B4:B12)</f>
        <v>157</v>
      </c>
      <c r="C13" s="14" t="n">
        <f aca="false">SUM(C4:C12)</f>
        <v>0</v>
      </c>
      <c r="D13" s="14" t="n">
        <f aca="false">SUM(D4:D12)</f>
        <v>0</v>
      </c>
      <c r="E13" s="14" t="n">
        <f aca="false">SUM(E4:E12)</f>
        <v>0</v>
      </c>
      <c r="F13" s="15" t="n">
        <f aca="false">SUM(F4:F12)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6" t="s">
        <v>269</v>
      </c>
    </row>
    <row r="3" customFormat="false" ht="15" hidden="false" customHeight="false" outlineLevel="0" collapsed="false">
      <c r="A3" s="17" t="s">
        <v>270</v>
      </c>
      <c r="C3" s="17" t="s">
        <v>271</v>
      </c>
    </row>
    <row r="4" customFormat="false" ht="15" hidden="false" customHeight="false" outlineLevel="0" collapsed="false">
      <c r="A4" s="18" t="s">
        <v>14</v>
      </c>
      <c r="C4" s="18" t="s">
        <v>166</v>
      </c>
    </row>
    <row r="5" customFormat="false" ht="15" hidden="false" customHeight="false" outlineLevel="0" collapsed="false">
      <c r="A5" s="18" t="s">
        <v>18</v>
      </c>
      <c r="C5" s="18" t="s">
        <v>168</v>
      </c>
    </row>
    <row r="6" customFormat="false" ht="15" hidden="false" customHeight="false" outlineLevel="0" collapsed="false">
      <c r="A6" s="18" t="s">
        <v>19</v>
      </c>
      <c r="C6" s="18" t="s">
        <v>171</v>
      </c>
    </row>
    <row r="7" customFormat="false" ht="15" hidden="false" customHeight="false" outlineLevel="0" collapsed="false">
      <c r="A7" s="18" t="s">
        <v>20</v>
      </c>
      <c r="C7" s="18" t="s">
        <v>172</v>
      </c>
    </row>
    <row r="8" customFormat="false" ht="15" hidden="false" customHeight="false" outlineLevel="0" collapsed="false">
      <c r="A8" s="18" t="s">
        <v>21</v>
      </c>
      <c r="C8" s="18" t="s">
        <v>174</v>
      </c>
    </row>
    <row r="9" customFormat="false" ht="15" hidden="false" customHeight="false" outlineLevel="0" collapsed="false">
      <c r="A9" s="18" t="s">
        <v>23</v>
      </c>
      <c r="C9" s="18" t="s">
        <v>175</v>
      </c>
    </row>
    <row r="10" customFormat="false" ht="15" hidden="false" customHeight="false" outlineLevel="0" collapsed="false">
      <c r="A10" s="18" t="s">
        <v>24</v>
      </c>
      <c r="C10" s="18" t="s">
        <v>177</v>
      </c>
    </row>
    <row r="11" customFormat="false" ht="15" hidden="false" customHeight="false" outlineLevel="0" collapsed="false">
      <c r="A11" s="18" t="s">
        <v>26</v>
      </c>
      <c r="C11" s="18" t="s">
        <v>178</v>
      </c>
    </row>
    <row r="12" customFormat="false" ht="15" hidden="false" customHeight="false" outlineLevel="0" collapsed="false">
      <c r="A12" s="18" t="s">
        <v>27</v>
      </c>
      <c r="C12" s="18" t="s">
        <v>180</v>
      </c>
    </row>
    <row r="13" customFormat="false" ht="15" hidden="false" customHeight="false" outlineLevel="0" collapsed="false">
      <c r="A13" s="18" t="s">
        <v>28</v>
      </c>
      <c r="C13" s="18" t="s">
        <v>181</v>
      </c>
    </row>
    <row r="14" customFormat="false" ht="15" hidden="false" customHeight="false" outlineLevel="0" collapsed="false">
      <c r="A14" s="18" t="s">
        <v>30</v>
      </c>
      <c r="C14" s="18" t="s">
        <v>183</v>
      </c>
    </row>
    <row r="15" customFormat="false" ht="15" hidden="false" customHeight="false" outlineLevel="0" collapsed="false">
      <c r="A15" s="18" t="s">
        <v>31</v>
      </c>
      <c r="C15" s="18" t="s">
        <v>184</v>
      </c>
    </row>
    <row r="16" customFormat="false" ht="15" hidden="false" customHeight="false" outlineLevel="0" collapsed="false">
      <c r="A16" s="18" t="s">
        <v>32</v>
      </c>
      <c r="C16" s="18" t="s">
        <v>187</v>
      </c>
    </row>
    <row r="17" customFormat="false" ht="15" hidden="false" customHeight="false" outlineLevel="0" collapsed="false">
      <c r="A17" s="18" t="s">
        <v>35</v>
      </c>
      <c r="C17" s="18" t="s">
        <v>189</v>
      </c>
    </row>
    <row r="18" customFormat="false" ht="15" hidden="false" customHeight="false" outlineLevel="0" collapsed="false">
      <c r="A18" s="18" t="s">
        <v>36</v>
      </c>
      <c r="C18" s="18" t="s">
        <v>190</v>
      </c>
    </row>
    <row r="19" customFormat="false" ht="15" hidden="false" customHeight="false" outlineLevel="0" collapsed="false">
      <c r="A19" s="18" t="s">
        <v>37</v>
      </c>
      <c r="C19" s="18" t="s">
        <v>192</v>
      </c>
    </row>
    <row r="20" customFormat="false" ht="15" hidden="false" customHeight="false" outlineLevel="0" collapsed="false">
      <c r="A20" s="18" t="s">
        <v>39</v>
      </c>
      <c r="C20" s="18" t="s">
        <v>193</v>
      </c>
    </row>
    <row r="21" customFormat="false" ht="15" hidden="false" customHeight="false" outlineLevel="0" collapsed="false">
      <c r="A21" s="18" t="s">
        <v>40</v>
      </c>
      <c r="C21" s="18" t="s">
        <v>195</v>
      </c>
    </row>
    <row r="22" customFormat="false" ht="15" hidden="false" customHeight="false" outlineLevel="0" collapsed="false">
      <c r="A22" s="18" t="s">
        <v>42</v>
      </c>
      <c r="C22" s="18" t="s">
        <v>196</v>
      </c>
    </row>
    <row r="23" customFormat="false" ht="15" hidden="false" customHeight="false" outlineLevel="0" collapsed="false">
      <c r="A23" s="18" t="s">
        <v>43</v>
      </c>
      <c r="C23" s="18" t="s">
        <v>198</v>
      </c>
    </row>
    <row r="24" customFormat="false" ht="15" hidden="false" customHeight="false" outlineLevel="0" collapsed="false">
      <c r="A24" s="18" t="s">
        <v>45</v>
      </c>
      <c r="C24" s="18" t="s">
        <v>200</v>
      </c>
    </row>
    <row r="25" customFormat="false" ht="15" hidden="false" customHeight="false" outlineLevel="0" collapsed="false">
      <c r="A25" s="18" t="s">
        <v>46</v>
      </c>
      <c r="C25" s="18" t="s">
        <v>202</v>
      </c>
    </row>
    <row r="26" customFormat="false" ht="15" hidden="false" customHeight="false" outlineLevel="0" collapsed="false">
      <c r="A26" s="18" t="s">
        <v>47</v>
      </c>
      <c r="C26" s="18" t="s">
        <v>203</v>
      </c>
    </row>
    <row r="27" customFormat="false" ht="15" hidden="false" customHeight="false" outlineLevel="0" collapsed="false">
      <c r="A27" s="18" t="s">
        <v>49</v>
      </c>
      <c r="C27" s="18" t="s">
        <v>205</v>
      </c>
    </row>
    <row r="28" customFormat="false" ht="15" hidden="false" customHeight="false" outlineLevel="0" collapsed="false">
      <c r="A28" s="18" t="s">
        <v>50</v>
      </c>
      <c r="C28" s="18" t="s">
        <v>207</v>
      </c>
    </row>
    <row r="29" customFormat="false" ht="15" hidden="false" customHeight="false" outlineLevel="0" collapsed="false">
      <c r="A29" s="18" t="s">
        <v>51</v>
      </c>
      <c r="C29" s="18" t="s">
        <v>208</v>
      </c>
    </row>
    <row r="30" customFormat="false" ht="15" hidden="false" customHeight="false" outlineLevel="0" collapsed="false">
      <c r="A30" s="18" t="s">
        <v>53</v>
      </c>
      <c r="C30" s="18" t="s">
        <v>209</v>
      </c>
    </row>
    <row r="31" customFormat="false" ht="15" hidden="false" customHeight="false" outlineLevel="0" collapsed="false">
      <c r="A31" s="18" t="s">
        <v>55</v>
      </c>
      <c r="C31" s="18" t="s">
        <v>211</v>
      </c>
    </row>
    <row r="32" customFormat="false" ht="15" hidden="false" customHeight="false" outlineLevel="0" collapsed="false">
      <c r="A32" s="18" t="s">
        <v>56</v>
      </c>
      <c r="C32" s="18" t="s">
        <v>213</v>
      </c>
    </row>
    <row r="33" customFormat="false" ht="15" hidden="false" customHeight="false" outlineLevel="0" collapsed="false">
      <c r="A33" s="18" t="s">
        <v>57</v>
      </c>
      <c r="C33" s="18" t="s">
        <v>215</v>
      </c>
    </row>
    <row r="34" customFormat="false" ht="15" hidden="false" customHeight="false" outlineLevel="0" collapsed="false">
      <c r="A34" s="18" t="s">
        <v>58</v>
      </c>
      <c r="C34" s="18" t="s">
        <v>217</v>
      </c>
    </row>
    <row r="35" customFormat="false" ht="15" hidden="false" customHeight="false" outlineLevel="0" collapsed="false">
      <c r="A35" s="18" t="s">
        <v>59</v>
      </c>
      <c r="C35" s="18" t="s">
        <v>218</v>
      </c>
    </row>
    <row r="36" customFormat="false" ht="15" hidden="false" customHeight="false" outlineLevel="0" collapsed="false">
      <c r="A36" s="18" t="s">
        <v>60</v>
      </c>
      <c r="C36" s="18" t="s">
        <v>219</v>
      </c>
    </row>
    <row r="37" customFormat="false" ht="15" hidden="false" customHeight="false" outlineLevel="0" collapsed="false">
      <c r="A37" s="18" t="s">
        <v>62</v>
      </c>
      <c r="C37" s="18" t="s">
        <v>221</v>
      </c>
    </row>
    <row r="38" customFormat="false" ht="15" hidden="false" customHeight="false" outlineLevel="0" collapsed="false">
      <c r="A38" s="18" t="s">
        <v>64</v>
      </c>
      <c r="C38" s="18" t="s">
        <v>223</v>
      </c>
    </row>
    <row r="39" customFormat="false" ht="15" hidden="false" customHeight="false" outlineLevel="0" collapsed="false">
      <c r="A39" s="18" t="s">
        <v>65</v>
      </c>
      <c r="C39" s="18" t="s">
        <v>224</v>
      </c>
    </row>
    <row r="40" customFormat="false" ht="15" hidden="false" customHeight="false" outlineLevel="0" collapsed="false">
      <c r="A40" s="18" t="s">
        <v>66</v>
      </c>
      <c r="C40" s="18" t="s">
        <v>225</v>
      </c>
    </row>
    <row r="41" customFormat="false" ht="15" hidden="false" customHeight="false" outlineLevel="0" collapsed="false">
      <c r="A41" s="18" t="s">
        <v>67</v>
      </c>
      <c r="C41" s="18" t="s">
        <v>226</v>
      </c>
    </row>
    <row r="42" customFormat="false" ht="15" hidden="false" customHeight="false" outlineLevel="0" collapsed="false">
      <c r="A42" s="18" t="s">
        <v>68</v>
      </c>
      <c r="C42" s="18" t="s">
        <v>228</v>
      </c>
    </row>
    <row r="43" customFormat="false" ht="15" hidden="false" customHeight="false" outlineLevel="0" collapsed="false">
      <c r="A43" s="18" t="s">
        <v>70</v>
      </c>
      <c r="C43" s="18" t="s">
        <v>230</v>
      </c>
    </row>
    <row r="44" customFormat="false" ht="15" hidden="false" customHeight="false" outlineLevel="0" collapsed="false">
      <c r="A44" s="18" t="s">
        <v>72</v>
      </c>
      <c r="C44" s="18" t="s">
        <v>232</v>
      </c>
    </row>
    <row r="45" customFormat="false" ht="15" hidden="false" customHeight="false" outlineLevel="0" collapsed="false">
      <c r="A45" s="18" t="s">
        <v>75</v>
      </c>
      <c r="C45" s="18" t="s">
        <v>234</v>
      </c>
    </row>
    <row r="46" customFormat="false" ht="15" hidden="false" customHeight="false" outlineLevel="0" collapsed="false">
      <c r="A46" s="18" t="s">
        <v>77</v>
      </c>
      <c r="C46" s="18" t="s">
        <v>236</v>
      </c>
    </row>
    <row r="47" customFormat="false" ht="15" hidden="false" customHeight="false" outlineLevel="0" collapsed="false">
      <c r="A47" s="18" t="s">
        <v>78</v>
      </c>
      <c r="C47" s="18" t="s">
        <v>238</v>
      </c>
    </row>
    <row r="48" customFormat="false" ht="15" hidden="false" customHeight="false" outlineLevel="0" collapsed="false">
      <c r="A48" s="18" t="s">
        <v>80</v>
      </c>
      <c r="C48" s="18" t="s">
        <v>241</v>
      </c>
    </row>
    <row r="49" customFormat="false" ht="15" hidden="false" customHeight="false" outlineLevel="0" collapsed="false">
      <c r="A49" s="18" t="s">
        <v>82</v>
      </c>
      <c r="C49" s="18" t="s">
        <v>243</v>
      </c>
    </row>
    <row r="50" customFormat="false" ht="15" hidden="false" customHeight="false" outlineLevel="0" collapsed="false">
      <c r="A50" s="18" t="s">
        <v>83</v>
      </c>
      <c r="C50" s="18" t="s">
        <v>244</v>
      </c>
    </row>
    <row r="51" customFormat="false" ht="15" hidden="false" customHeight="false" outlineLevel="0" collapsed="false">
      <c r="A51" s="18" t="s">
        <v>85</v>
      </c>
      <c r="C51" s="18" t="s">
        <v>245</v>
      </c>
    </row>
    <row r="52" customFormat="false" ht="15" hidden="false" customHeight="false" outlineLevel="0" collapsed="false">
      <c r="A52" s="18" t="s">
        <v>87</v>
      </c>
      <c r="C52" s="18" t="s">
        <v>246</v>
      </c>
    </row>
    <row r="53" customFormat="false" ht="15" hidden="false" customHeight="false" outlineLevel="0" collapsed="false">
      <c r="A53" s="18" t="s">
        <v>89</v>
      </c>
      <c r="C53" s="18" t="s">
        <v>247</v>
      </c>
    </row>
    <row r="54" customFormat="false" ht="15" hidden="false" customHeight="false" outlineLevel="0" collapsed="false">
      <c r="A54" s="18" t="s">
        <v>90</v>
      </c>
      <c r="C54" s="18" t="s">
        <v>250</v>
      </c>
    </row>
    <row r="55" customFormat="false" ht="15" hidden="false" customHeight="false" outlineLevel="0" collapsed="false">
      <c r="A55" s="18" t="s">
        <v>92</v>
      </c>
      <c r="C55" s="18" t="s">
        <v>252</v>
      </c>
    </row>
    <row r="56" customFormat="false" ht="15" hidden="false" customHeight="false" outlineLevel="0" collapsed="false">
      <c r="A56" s="18" t="s">
        <v>93</v>
      </c>
      <c r="C56" s="18" t="s">
        <v>253</v>
      </c>
    </row>
    <row r="57" customFormat="false" ht="15" hidden="false" customHeight="false" outlineLevel="0" collapsed="false">
      <c r="A57" s="18" t="s">
        <v>94</v>
      </c>
      <c r="C57" s="18" t="s">
        <v>256</v>
      </c>
    </row>
    <row r="58" customFormat="false" ht="15" hidden="false" customHeight="false" outlineLevel="0" collapsed="false">
      <c r="A58" s="18" t="s">
        <v>95</v>
      </c>
      <c r="C58" s="18" t="s">
        <v>258</v>
      </c>
    </row>
    <row r="59" customFormat="false" ht="15" hidden="false" customHeight="false" outlineLevel="0" collapsed="false">
      <c r="A59" s="18" t="s">
        <v>96</v>
      </c>
      <c r="C59" s="18" t="s">
        <v>260</v>
      </c>
    </row>
    <row r="60" customFormat="false" ht="15" hidden="false" customHeight="false" outlineLevel="0" collapsed="false">
      <c r="A60" s="18" t="s">
        <v>98</v>
      </c>
      <c r="C60" s="18" t="s">
        <v>261</v>
      </c>
    </row>
    <row r="61" customFormat="false" ht="15" hidden="false" customHeight="false" outlineLevel="0" collapsed="false">
      <c r="A61" s="18" t="s">
        <v>99</v>
      </c>
    </row>
    <row r="62" customFormat="false" ht="15" hidden="false" customHeight="false" outlineLevel="0" collapsed="false">
      <c r="A62" s="18" t="s">
        <v>100</v>
      </c>
    </row>
    <row r="63" customFormat="false" ht="15" hidden="false" customHeight="false" outlineLevel="0" collapsed="false">
      <c r="A63" s="18" t="s">
        <v>102</v>
      </c>
    </row>
    <row r="64" customFormat="false" ht="15" hidden="false" customHeight="false" outlineLevel="0" collapsed="false">
      <c r="A64" s="18" t="s">
        <v>103</v>
      </c>
    </row>
    <row r="65" customFormat="false" ht="15" hidden="false" customHeight="false" outlineLevel="0" collapsed="false">
      <c r="A65" s="18" t="s">
        <v>106</v>
      </c>
    </row>
    <row r="66" customFormat="false" ht="15" hidden="false" customHeight="false" outlineLevel="0" collapsed="false">
      <c r="A66" s="18" t="s">
        <v>107</v>
      </c>
    </row>
    <row r="67" customFormat="false" ht="15" hidden="false" customHeight="false" outlineLevel="0" collapsed="false">
      <c r="A67" s="18" t="s">
        <v>108</v>
      </c>
    </row>
    <row r="68" customFormat="false" ht="15" hidden="false" customHeight="false" outlineLevel="0" collapsed="false">
      <c r="A68" s="18" t="s">
        <v>110</v>
      </c>
    </row>
    <row r="69" customFormat="false" ht="15" hidden="false" customHeight="false" outlineLevel="0" collapsed="false">
      <c r="A69" s="18" t="s">
        <v>111</v>
      </c>
    </row>
    <row r="70" customFormat="false" ht="15" hidden="false" customHeight="false" outlineLevel="0" collapsed="false">
      <c r="A70" s="18" t="s">
        <v>113</v>
      </c>
    </row>
    <row r="71" customFormat="false" ht="15" hidden="false" customHeight="false" outlineLevel="0" collapsed="false">
      <c r="A71" s="18" t="s">
        <v>115</v>
      </c>
    </row>
    <row r="72" customFormat="false" ht="15" hidden="false" customHeight="false" outlineLevel="0" collapsed="false">
      <c r="A72" s="18" t="s">
        <v>117</v>
      </c>
    </row>
    <row r="73" customFormat="false" ht="15" hidden="false" customHeight="false" outlineLevel="0" collapsed="false">
      <c r="A73" s="18" t="s">
        <v>119</v>
      </c>
    </row>
    <row r="74" customFormat="false" ht="15" hidden="false" customHeight="false" outlineLevel="0" collapsed="false">
      <c r="A74" s="18" t="s">
        <v>121</v>
      </c>
    </row>
    <row r="75" customFormat="false" ht="15" hidden="false" customHeight="false" outlineLevel="0" collapsed="false">
      <c r="A75" s="18" t="s">
        <v>123</v>
      </c>
    </row>
    <row r="76" customFormat="false" ht="15" hidden="false" customHeight="false" outlineLevel="0" collapsed="false">
      <c r="A76" s="18" t="s">
        <v>125</v>
      </c>
    </row>
    <row r="77" customFormat="false" ht="15" hidden="false" customHeight="false" outlineLevel="0" collapsed="false">
      <c r="A77" s="18" t="s">
        <v>127</v>
      </c>
    </row>
    <row r="78" customFormat="false" ht="15" hidden="false" customHeight="false" outlineLevel="0" collapsed="false">
      <c r="A78" s="18" t="s">
        <v>129</v>
      </c>
    </row>
    <row r="79" customFormat="false" ht="15" hidden="false" customHeight="false" outlineLevel="0" collapsed="false">
      <c r="A79" s="18" t="s">
        <v>131</v>
      </c>
    </row>
    <row r="80" customFormat="false" ht="15" hidden="false" customHeight="false" outlineLevel="0" collapsed="false">
      <c r="A80" s="18" t="s">
        <v>132</v>
      </c>
    </row>
    <row r="81" customFormat="false" ht="15" hidden="false" customHeight="false" outlineLevel="0" collapsed="false">
      <c r="A81" s="18" t="s">
        <v>133</v>
      </c>
    </row>
    <row r="82" customFormat="false" ht="15" hidden="false" customHeight="false" outlineLevel="0" collapsed="false">
      <c r="A82" s="18" t="s">
        <v>135</v>
      </c>
    </row>
    <row r="83" customFormat="false" ht="15" hidden="false" customHeight="false" outlineLevel="0" collapsed="false">
      <c r="A83" s="18" t="s">
        <v>136</v>
      </c>
    </row>
    <row r="84" customFormat="false" ht="15" hidden="false" customHeight="false" outlineLevel="0" collapsed="false">
      <c r="A84" s="18" t="s">
        <v>137</v>
      </c>
    </row>
    <row r="85" customFormat="false" ht="15" hidden="false" customHeight="false" outlineLevel="0" collapsed="false">
      <c r="A85" s="18" t="s">
        <v>139</v>
      </c>
    </row>
    <row r="86" customFormat="false" ht="15" hidden="false" customHeight="false" outlineLevel="0" collapsed="false">
      <c r="A86" s="18" t="s">
        <v>142</v>
      </c>
    </row>
    <row r="87" customFormat="false" ht="15" hidden="false" customHeight="false" outlineLevel="0" collapsed="false">
      <c r="A87" s="18" t="s">
        <v>143</v>
      </c>
    </row>
    <row r="88" customFormat="false" ht="15" hidden="false" customHeight="false" outlineLevel="0" collapsed="false">
      <c r="A88" s="18" t="s">
        <v>144</v>
      </c>
    </row>
    <row r="89" customFormat="false" ht="15" hidden="false" customHeight="false" outlineLevel="0" collapsed="false">
      <c r="A89" s="18" t="s">
        <v>145</v>
      </c>
    </row>
    <row r="90" customFormat="false" ht="15" hidden="false" customHeight="false" outlineLevel="0" collapsed="false">
      <c r="A90" s="18" t="s">
        <v>146</v>
      </c>
    </row>
    <row r="91" customFormat="false" ht="15" hidden="false" customHeight="false" outlineLevel="0" collapsed="false">
      <c r="A91" s="18" t="s">
        <v>148</v>
      </c>
    </row>
    <row r="92" customFormat="false" ht="15" hidden="false" customHeight="false" outlineLevel="0" collapsed="false">
      <c r="A92" s="18" t="s">
        <v>149</v>
      </c>
    </row>
    <row r="93" customFormat="false" ht="15" hidden="false" customHeight="false" outlineLevel="0" collapsed="false">
      <c r="A93" s="18" t="s">
        <v>150</v>
      </c>
    </row>
    <row r="94" customFormat="false" ht="15" hidden="false" customHeight="false" outlineLevel="0" collapsed="false">
      <c r="A94" s="18" t="s">
        <v>152</v>
      </c>
    </row>
    <row r="95" customFormat="false" ht="15" hidden="false" customHeight="false" outlineLevel="0" collapsed="false">
      <c r="A95" s="18" t="s">
        <v>154</v>
      </c>
    </row>
    <row r="96" customFormat="false" ht="15" hidden="false" customHeight="false" outlineLevel="0" collapsed="false">
      <c r="A96" s="18" t="s">
        <v>155</v>
      </c>
    </row>
    <row r="97" customFormat="false" ht="15" hidden="false" customHeight="false" outlineLevel="0" collapsed="false">
      <c r="A97" s="18" t="s">
        <v>157</v>
      </c>
    </row>
    <row r="98" customFormat="false" ht="15" hidden="false" customHeight="false" outlineLevel="0" collapsed="false">
      <c r="A98" s="18" t="s">
        <v>158</v>
      </c>
    </row>
    <row r="99" customFormat="false" ht="15" hidden="false" customHeight="false" outlineLevel="0" collapsed="false">
      <c r="A99" s="18" t="s">
        <v>159</v>
      </c>
    </row>
    <row r="100" customFormat="false" ht="15" hidden="false" customHeight="false" outlineLevel="0" collapsed="false">
      <c r="A100" s="18" t="s">
        <v>160</v>
      </c>
    </row>
    <row r="101" customFormat="false" ht="15" hidden="false" customHeight="false" outlineLevel="0" collapsed="false">
      <c r="A101" s="18" t="s">
        <v>162</v>
      </c>
    </row>
    <row r="102" customFormat="false" ht="15" hidden="false" customHeight="false" outlineLevel="0" collapsed="false">
      <c r="A102" s="18" t="s">
        <v>163</v>
      </c>
    </row>
    <row r="103" customFormat="false" ht="15" hidden="false" customHeight="false" outlineLevel="0" collapsed="false">
      <c r="A103" s="1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272</v>
      </c>
    </row>
    <row r="3" customFormat="false" ht="15" hidden="false" customHeight="false" outlineLevel="0" collapsed="false">
      <c r="A3" s="19" t="s">
        <v>273</v>
      </c>
    </row>
    <row r="4" customFormat="false" ht="15" hidden="false" customHeight="false" outlineLevel="0" collapsed="false">
      <c r="A4" s="19" t="s">
        <v>274</v>
      </c>
    </row>
    <row r="5" customFormat="false" ht="15" hidden="false" customHeight="false" outlineLevel="0" collapsed="false">
      <c r="A5" s="19" t="s">
        <v>275</v>
      </c>
    </row>
    <row r="6" customFormat="false" ht="15" hidden="false" customHeight="false" outlineLevel="0" collapsed="false">
      <c r="A6" s="19" t="s">
        <v>276</v>
      </c>
    </row>
    <row r="7" customFormat="false" ht="15" hidden="false" customHeight="false" outlineLevel="0" collapsed="false">
      <c r="A7" s="19" t="s">
        <v>277</v>
      </c>
    </row>
    <row r="8" customFormat="false" ht="15" hidden="false" customHeight="false" outlineLevel="0" collapsed="false">
      <c r="A8" s="19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2026-10-15T04:37:37Z</dcterms:created>
  <dc:creator>openpyxl</dc:creator>
  <dc:description/>
  <dc:language>en-US</dc:language>
  <cp:lastModifiedBy/>
  <dcterms:modified xsi:type="dcterms:W3CDTF">2026-10-15T04:37:37Z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