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ps" sheetId="2" state="visible" r:id="rId4"/>
    <sheet name="Quick Wins" sheetId="3" state="visible" r:id="rId5"/>
    <sheet name="Page Opportunities" sheetId="4" state="visible" r:id="rId6"/>
    <sheet name="Keyword Plan" sheetId="5" state="visible" r:id="rId7"/>
    <sheet name="Content Plan" sheetId="6" state="visible" r:id="rId8"/>
    <sheet name="Competitive Analysis" sheetId="7" state="visible" r:id="rId9"/>
    <sheet name="Outreach Targets" sheetId="8" state="visible" r:id="rId10"/>
    <sheet name="Redirect Map" sheetId="9" state="visible" r:id="rId11"/>
    <sheet name="Meta Drafts" sheetId="10" state="visible" r:id="rId12"/>
    <sheet name="Page Inventory" sheetId="11" state="visible" r:id="rId13"/>
    <sheet name="Semrush Keywords" sheetId="12" state="visible" r:id="rId14"/>
    <sheet name="GSC Daily" sheetId="13" state="visible" r:id="rId15"/>
    <sheet name="GSC Countries" sheetId="14" state="visible" r:id="rId16"/>
    <sheet name="Sources &amp; Method" sheetId="15" state="visible" r:id="rId17"/>
  </sheets>
  <definedNames>
    <definedName function="false" hidden="true" localSheetId="6" name="_xlnm._FilterDatabase" vbProcedure="false">'Competitive Analysis'!$A$14:$E$21</definedName>
    <definedName function="false" hidden="true" localSheetId="5" name="_xlnm._FilterDatabase" vbProcedure="false">'Content Plan'!$A$4:$J$28</definedName>
    <definedName function="false" hidden="true" localSheetId="1" name="_xlnm._FilterDatabase" vbProcedure="false">Gaps!$A$4:$K$30</definedName>
    <definedName function="false" hidden="true" localSheetId="13" name="_xlnm._FilterDatabase" vbProcedure="false">'GSC Countries'!$A$4:$E$163</definedName>
    <definedName function="false" hidden="true" localSheetId="12" name="_xlnm._FilterDatabase" vbProcedure="false">'GSC Daily'!$A$4:$F$96</definedName>
    <definedName function="false" hidden="true" localSheetId="4" name="_xlnm._FilterDatabase" vbProcedure="false">'Keyword Plan'!$A$4:$K$33</definedName>
    <definedName function="false" hidden="true" localSheetId="9" name="_xlnm._FilterDatabase" vbProcedure="false">'Meta Drafts'!$A$4:$C$15</definedName>
    <definedName function="false" hidden="true" localSheetId="7" name="_xlnm._FilterDatabase" vbProcedure="false">'Outreach Targets'!$A$4:$F$19</definedName>
    <definedName function="false" hidden="true" localSheetId="10" name="_xlnm._FilterDatabase" vbProcedure="false">'Page Inventory'!$A$4:$M$156</definedName>
    <definedName function="false" hidden="true" localSheetId="3" name="_xlnm._FilterDatabase" vbProcedure="false">'Page Opportunities'!$A$4:$J$162</definedName>
    <definedName function="false" hidden="true" localSheetId="2" name="_xlnm._FilterDatabase" vbProcedure="false">'Quick Wins'!$A$4:$J$17</definedName>
    <definedName function="false" hidden="true" localSheetId="8" name="_xlnm._FilterDatabase" vbProcedure="false">'Redirect Map'!$A$4:$E$18</definedName>
    <definedName function="false" hidden="true" localSheetId="11" name="_xlnm._FilterDatabase" vbProcedure="false">'Semrush Keywords'!$A$4:$I$100</definedName>
    <definedName function="false" hidden="true" localSheetId="14" name="_xlnm._FilterDatabase" vbProcedure="false">'Sources &amp; Method'!$A$4:$B$11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5" authorId="0">
      <text>
        <r>
          <rPr>
            <sz val="10"/>
            <rFont val="Arial"/>
            <family val="2"/>
          </rPr>
          <t xml:space="preserve">Assumption, not a measured benchmark. Edit these blue inputs to change every Potential/Gap figure.</t>
        </r>
      </text>
    </comment>
  </commentList>
</comments>
</file>

<file path=xl/sharedStrings.xml><?xml version="1.0" encoding="utf-8"?>
<sst xmlns="http://schemas.openxmlformats.org/spreadsheetml/2006/main" count="2805" uniqueCount="1392">
  <si>
    <t xml:space="preserve">OrbitalX SEO Audit: Dashboard</t>
  </si>
  <si>
    <t xml:space="preserve">orbitalx.com · Audit date 13 Oct 2026 · Sources: full site crawl (152 URLs), Semrush US (12 Oct 2026), Google Search Console (11 Jul – 10 Oct 2026)</t>
  </si>
  <si>
    <t xml:space="preserve">Overall health</t>
  </si>
  <si>
    <t xml:space="preserve">CRITICAL: brand-only search traffic</t>
  </si>
  <si>
    <t xml:space="preserve">Headline: average position improved from ~21 to ~12 in three months, but clicks rose only ~19%. 87% of clicks go to brand pages, the blog converts 0.3% of its impressions into clicks, and the service pages earn almost nothing outside brand sitelinks.</t>
  </si>
  <si>
    <t xml:space="preserve">Monthly trend (GSC)</t>
  </si>
  <si>
    <t xml:space="preserve">GSC clicks (3 months)</t>
  </si>
  <si>
    <t xml:space="preserve">Month</t>
  </si>
  <si>
    <t xml:space="preserve">Clicks</t>
  </si>
  <si>
    <t xml:space="preserve">Impressions</t>
  </si>
  <si>
    <t xml:space="preserve">Avg position</t>
  </si>
  <si>
    <t xml:space="preserve">GSC impressions (3 months)</t>
  </si>
  <si>
    <t xml:space="preserve">2026-07</t>
  </si>
  <si>
    <t xml:space="preserve">Average CTR</t>
  </si>
  <si>
    <t xml:space="preserve">2026-08</t>
  </si>
  <si>
    <t xml:space="preserve">Avg position: first 30 days</t>
  </si>
  <si>
    <t xml:space="preserve">2026-09</t>
  </si>
  <si>
    <t xml:space="preserve">Avg position: last 30 days</t>
  </si>
  <si>
    <t xml:space="preserve">2026-10</t>
  </si>
  <si>
    <t xml:space="preserve">Clicks to brand pages (home, team, www, contact)</t>
  </si>
  <si>
    <t xml:space="preserve">Jul = 21 days (11–31 Jul); Oct = 10 days (1–10 Oct).</t>
  </si>
  <si>
    <t xml:space="preserve">Brand share of page clicks</t>
  </si>
  <si>
    <t xml:space="preserve">Blog (/resources/) impressions</t>
  </si>
  <si>
    <t xml:space="preserve">Devices (GSC)</t>
  </si>
  <si>
    <t xml:space="preserve">Blog (/resources/) clicks</t>
  </si>
  <si>
    <t xml:space="preserve">Device</t>
  </si>
  <si>
    <t xml:space="preserve">CTR</t>
  </si>
  <si>
    <t xml:space="preserve">Blog CTR</t>
  </si>
  <si>
    <t xml:space="preserve">Desktop</t>
  </si>
  <si>
    <t xml:space="preserve">UK share of clicks</t>
  </si>
  <si>
    <t xml:space="preserve">Mobile</t>
  </si>
  <si>
    <t xml:space="preserve">US share of impressions</t>
  </si>
  <si>
    <t xml:space="preserve">Tablet</t>
  </si>
  <si>
    <t xml:space="preserve">US CTR</t>
  </si>
  <si>
    <t xml:space="preserve">Semrush US ranking keywords (unique)</t>
  </si>
  <si>
    <t xml:space="preserve">Est. clicks/quarter if CTR gaps closed</t>
  </si>
  <si>
    <t xml:space="preserve">Gap = estimated extra clicks per quarter if each page reached the benchmark CTR for its current position (see Page Opportunities).</t>
  </si>
  <si>
    <t xml:space="preserve">Top countries by clicks (GSC)</t>
  </si>
  <si>
    <t xml:space="preserve">Country</t>
  </si>
  <si>
    <t xml:space="preserve">Health scorecard</t>
  </si>
  <si>
    <t xml:space="preserve">Area</t>
  </si>
  <si>
    <t xml:space="preserve">Rating</t>
  </si>
  <si>
    <t xml:space="preserve">Why</t>
  </si>
  <si>
    <t xml:space="preserve">Technical foundation</t>
  </si>
  <si>
    <t xml:space="preserve">Good</t>
  </si>
  <si>
    <t xml:space="preserve">HTTPS, 1-hop www redirect, self-canonicals, all sitemap URLs return 200</t>
  </si>
  <si>
    <t xml:space="preserve">Indexation hygiene</t>
  </si>
  <si>
    <t xml:space="preserve">Needs work</t>
  </si>
  <si>
    <t xml:space="preserve">app. subdomain (Smartlead), www, 404 URLs and microsites still in Google</t>
  </si>
  <si>
    <t xml:space="preserve">On-page metadata</t>
  </si>
  <si>
    <t xml:space="preserve">Critical</t>
  </si>
  <si>
    <t xml:space="preserve">96 pages share one meta description; weak H1s on hub pages</t>
  </si>
  <si>
    <t xml:space="preserve">Internal linking</t>
  </si>
  <si>
    <t xml:space="preserve">~100 articles reachable only via sitemap; 0 guide→service links</t>
  </si>
  <si>
    <t xml:space="preserve">Content &amp; keywords</t>
  </si>
  <si>
    <t xml:space="preserve">52 strong guides, but cannibalisation and 0.3% blog CTR</t>
  </si>
  <si>
    <t xml:space="preserve">Commercial visibility</t>
  </si>
  <si>
    <t xml:space="preserve">Service pages rank for no non-brand terms</t>
  </si>
  <si>
    <t xml:space="preserve">Authority &amp; off-site</t>
  </si>
  <si>
    <t xml:space="preserve">Not listed in any 'best ABM / demand gen agency' roundup</t>
  </si>
  <si>
    <t xml:space="preserve">Structured data</t>
  </si>
  <si>
    <t xml:space="preserve">Organization only, with errors; no Article/Breadcrumb/Person</t>
  </si>
  <si>
    <t xml:space="preserve">Gaps: every finding, prioritised</t>
  </si>
  <si>
    <t xml:space="preserve">Source column shows where the evidence came from: Crawl (13 Oct 2026), Semrush US (12 Oct 2026), GSC (11 Jul – 10 Oct 2026), SERP research.</t>
  </si>
  <si>
    <t xml:space="preserve">ID</t>
  </si>
  <si>
    <t xml:space="preserve">Priority</t>
  </si>
  <si>
    <t xml:space="preserve">Gap</t>
  </si>
  <si>
    <t xml:space="preserve">Evidence</t>
  </si>
  <si>
    <t xml:space="preserve">Impact</t>
  </si>
  <si>
    <t xml:space="preserve">Fix</t>
  </si>
  <si>
    <t xml:space="preserve">Source</t>
  </si>
  <si>
    <t xml:space="preserve">Effort</t>
  </si>
  <si>
    <t xml:space="preserve">Owner</t>
  </si>
  <si>
    <t xml:space="preserve">Status</t>
  </si>
  <si>
    <t xml:space="preserve">G01</t>
  </si>
  <si>
    <t xml:space="preserve">Commercial</t>
  </si>
  <si>
    <t xml:space="preserve">Semrush: only /services/abm ranks, #80 for 'abx campaign'. GSC: /services/* impressions come at positions 2–3 with 0.2–0.9% CTR, i.e. brand sitelinks.</t>
  </si>
  <si>
    <t xml:space="preserve">No pipeline from search</t>
  </si>
  <si>
    <t xml:space="preserve">Make service pages unique (rewrite blocks copied from homepage), add commercial sections (pricing, process, FAQs, Service schema), and point internal links from guides.</t>
  </si>
  <si>
    <t xml:space="preserve">Semrush + GSC + Crawl</t>
  </si>
  <si>
    <t xml:space="preserve">1–2 wks</t>
  </si>
  <si>
    <t xml:space="preserve">Not started</t>
  </si>
  <si>
    <t xml:space="preserve">G02</t>
  </si>
  <si>
    <t xml:space="preserve">Content</t>
  </si>
  <si>
    <t xml:space="preserve">The blog gets impressions but almost no clicks</t>
  </si>
  <si>
    <t xml:space="preserve">GSC: /resources/* pages = 25,411 impressions, 77 clicks (0.3% CTR). 98 of 158 pages had 0 clicks.</t>
  </si>
  <si>
    <t xml:space="preserve">Wasted visibility</t>
  </si>
  <si>
    <t xml:space="preserve">Rewrite titles/meta for high-impression pages (see Page Opportunities); add comparison tables, FAQs, dates in titles.</t>
  </si>
  <si>
    <t xml:space="preserve">GSC</t>
  </si>
  <si>
    <t xml:space="preserve">1 wk</t>
  </si>
  <si>
    <t xml:space="preserve">G03</t>
  </si>
  <si>
    <t xml:space="preserve">On-page</t>
  </si>
  <si>
    <t xml:space="preserve">96 pages share one default meta description</t>
  </si>
  <si>
    <t xml:space="preserve">83 articles + all 13 category/type pages use 'OrbitalX builds profitable pipeline…'.</t>
  </si>
  <si>
    <t xml:space="preserve">Low CTR, identical snippets</t>
  </si>
  <si>
    <t xml:space="preserve">Set SEO Pro to fall back to the excerpt; hand-write the top 52 guides (drafts in Meta Drafts).</t>
  </si>
  <si>
    <t xml:space="preserve">Crawl</t>
  </si>
  <si>
    <t xml:space="preserve">1–2 days</t>
  </si>
  <si>
    <t xml:space="preserve">G04</t>
  </si>
  <si>
    <t xml:space="preserve">Crawlability</t>
  </si>
  <si>
    <t xml:space="preserve">~100 articles are only reachable via the sitemap</t>
  </si>
  <si>
    <t xml:space="preserve">/resources?page=2 shows the same 20 posts and canonicalises to /resources. 26 pages have ≤1 internal link.</t>
  </si>
  <si>
    <t xml:space="preserve">Weak crawl priority and PageRank</t>
  </si>
  <si>
    <t xml:space="preserve">Crawlable pagination with self-canonicals; related-articles module; footer link to /faqs.</t>
  </si>
  <si>
    <t xml:space="preserve">0.5 day dev</t>
  </si>
  <si>
    <t xml:space="preserve">G05</t>
  </si>
  <si>
    <t xml:space="preserve">Cannibalisation on core terms</t>
  </si>
  <si>
    <t xml:space="preserve">'demand gen company' (480/mo) ranks via /blog-categories/demand-generation #25, not the service page. ABM service queries go to the ABM tools post. Homepage H1 'The ABM agency…' competes with /services/abm.</t>
  </si>
  <si>
    <t xml:space="preserve">Google can't pick a winner</t>
  </si>
  <si>
    <t xml:space="preserve">Retitle blog posts to informational intent; homepage targets brand + broad; link everything to the service page.</t>
  </si>
  <si>
    <t xml:space="preserve">Semrush + Crawl</t>
  </si>
  <si>
    <t xml:space="preserve">2 hrs</t>
  </si>
  <si>
    <t xml:space="preserve">G06</t>
  </si>
  <si>
    <t xml:space="preserve">Indexation</t>
  </si>
  <si>
    <t xml:space="preserve">app.orbitalx.com (titled 'Smartlead') is indexed</t>
  </si>
  <si>
    <t xml:space="preserve">200, no noindex; robots.txt allows /. GSC: 487 impressions. Semrush: ranks for 'orbitx' (4,400/mo), 'orbital x'.</t>
  </si>
  <si>
    <t xml:space="preserve">Third-party brand in brand SERP</t>
  </si>
  <si>
    <t xml:space="preserve">X-Robots-Tag: noindex via Netlify _headers; rename title.</t>
  </si>
  <si>
    <t xml:space="preserve">Crawl + GSC + Semrush</t>
  </si>
  <si>
    <t xml:space="preserve">15 min</t>
  </si>
  <si>
    <t xml:space="preserve">G07</t>
  </si>
  <si>
    <t xml:space="preserve">Off-site</t>
  </si>
  <si>
    <t xml:space="preserve">Absent from every 'best ABM / demand gen agency' roundup</t>
  </si>
  <si>
    <t xml:space="preserve">None of the 12 roundups found (Blend, Polaris, B2B Marketing, Directive UK, Digital Litmus, OneMetrik, GTM 8020, RevvGrowth, Growth Syndicate, bestabmagencies, PipeRocket, 310 Creative) lists OrbitalX.</t>
  </si>
  <si>
    <t xml:space="preserve">Competitors own the shortlist SERPs</t>
  </si>
  <si>
    <t xml:space="preserve">Outreach for inclusion with proof (11.7x ROI, named case studies); build G2/Clutch reviews.</t>
  </si>
  <si>
    <t xml:space="preserve">SERP research</t>
  </si>
  <si>
    <t xml:space="preserve">Ongoing</t>
  </si>
  <si>
    <t xml:space="preserve">G08</t>
  </si>
  <si>
    <t xml:space="preserve">High</t>
  </si>
  <si>
    <t xml:space="preserve">/services/earned returns 404 but still gets traffic</t>
  </si>
  <si>
    <t xml:space="preserve">GSC: 4 clicks, 67 impressions, avg pos 8.6. Live URL returns 404.</t>
  </si>
  <si>
    <t xml:space="preserve">Lost rankings and links</t>
  </si>
  <si>
    <t xml:space="preserve">Restore the Earned page (FAQ still references it) or 301 to /services.</t>
  </si>
  <si>
    <t xml:space="preserve">GSC + Crawl</t>
  </si>
  <si>
    <t xml:space="preserve">30 min</t>
  </si>
  <si>
    <t xml:space="preserve">G09</t>
  </si>
  <si>
    <t xml:space="preserve">Dead and typo URLs in Google</t>
  </si>
  <si>
    <t xml:space="preserve">GSC shows /resources-v2, /resources/demand-net-vs-performance-max, /resources/account-abased-marketing-tools, /blog-categories/brand-storytelling: all 404 now.</t>
  </si>
  <si>
    <t xml:space="preserve">Crawl waste, lost signals</t>
  </si>
  <si>
    <t xml:space="preserve">301 each to the correct page (see Redirect Map).</t>
  </si>
  <si>
    <t xml:space="preserve">G10</t>
  </si>
  <si>
    <t xml:space="preserve">Microsites on subdomains are indexed</t>
  </si>
  <si>
    <t xml:space="preserve">GSC: domorewithless., episode4/5/6.domorewithless., marketingunderattack-uk/au., fixcoldoutbound.orbitalx.com. TLS handshake failed from the audit environment (verify).</t>
  </si>
  <si>
    <t xml:space="preserve">Diluted brand signals; possibly broken pages</t>
  </si>
  <si>
    <t xml:space="preserve">If retired: 301 to /resources pages. If live: fix SSL, add canonical/links back to main site.</t>
  </si>
  <si>
    <t xml:space="preserve">Verify</t>
  </si>
  <si>
    <t xml:space="preserve">G11</t>
  </si>
  <si>
    <t xml:space="preserve">www.orbitalx.com still shows in Google</t>
  </si>
  <si>
    <t xml:space="preserve">GSC: 630 impressions, 7 clicks. Semrush: #10 for 'orbital x'. robots.txt sitemap line and 7 internal links use www.</t>
  </si>
  <si>
    <t xml:space="preserve">Split brand signals</t>
  </si>
  <si>
    <t xml:space="preserve">Fix robots.txt line, internal links, GBP and sameAs URLs.</t>
  </si>
  <si>
    <t xml:space="preserve">GSC + Semrush + Crawl</t>
  </si>
  <si>
    <t xml:space="preserve">1 hr</t>
  </si>
  <si>
    <t xml:space="preserve">G12</t>
  </si>
  <si>
    <t xml:space="preserve">Exact and near-duplicate pages</t>
  </si>
  <si>
    <t xml:space="preserve">3 exact duplicates (77–100% overlap) + 4 same-topic pairs (flywheel, MPM, CMO, portfolio blueprint). GSC shows both URLs in several pairs getting impressions.</t>
  </si>
  <si>
    <t xml:space="preserve">Split rankings</t>
  </si>
  <si>
    <t xml:space="preserve">301 and merge (see Redirect Map).</t>
  </si>
  <si>
    <t xml:space="preserve">Crawl + GSC</t>
  </si>
  <si>
    <t xml:space="preserve">G13</t>
  </si>
  <si>
    <t xml:space="preserve">Market</t>
  </si>
  <si>
    <t xml:space="preserve">US impressions don't convert; UK is the real market</t>
  </si>
  <si>
    <t xml:space="preserve">US = 48% of impressions but 0.76% CTR (pos 20). UK = 38% of clicks at 9.8% CTR. Semrush data is US-only.</t>
  </si>
  <si>
    <t xml:space="preserve">Optimising for the wrong market</t>
  </si>
  <si>
    <t xml:space="preserve">Pull a UK Semrush export; use UK spelling and £ consistently; set lang=en-GB; add UK proof to key pages.</t>
  </si>
  <si>
    <t xml:space="preserve">G14</t>
  </si>
  <si>
    <t xml:space="preserve">Internal links</t>
  </si>
  <si>
    <t xml:space="preserve">Guides don't link to service pages</t>
  </si>
  <si>
    <t xml:space="preserve">52 long guides: median 0 in-body links to /services/*.</t>
  </si>
  <si>
    <t xml:space="preserve">Money pages get no authority</t>
  </si>
  <si>
    <t xml:space="preserve">Add 1–3 contextual links per guide + a service CTA block.</t>
  </si>
  <si>
    <t xml:space="preserve">G15</t>
  </si>
  <si>
    <t xml:space="preserve">Service pages duplicate the homepage</t>
  </si>
  <si>
    <t xml:space="preserve">46–63% of each main service page's text is copied from the homepage.</t>
  </si>
  <si>
    <t xml:space="preserve">Thin / duplicate signals</t>
  </si>
  <si>
    <t xml:space="preserve">Rewrite the 'broken', 'how it works' and FAQ blocks per service.</t>
  </si>
  <si>
    <t xml:space="preserve">G16</t>
  </si>
  <si>
    <t xml:space="preserve">Schema</t>
  </si>
  <si>
    <t xml:space="preserve">Only Organization schema, with errors</t>
  </si>
  <si>
    <t xml:space="preserve">Invalid 'services' property, 'founders' superseded, logo on old Webflow CDN, address lacks street, PH-only phone, sameAs = LinkedIn only.</t>
  </si>
  <si>
    <t xml:space="preserve">No rich results, weaker entity</t>
  </si>
  <si>
    <t xml:space="preserve">BlogPosting + BreadcrumbList + Person; fix Organization; add Service + FAQPage on services.</t>
  </si>
  <si>
    <t xml:space="preserve">G17</t>
  </si>
  <si>
    <t xml:space="preserve">E-E-A-T</t>
  </si>
  <si>
    <t xml:space="preserve">No author bylines</t>
  </si>
  <si>
    <t xml:space="preserve">Articles show a date but no author.</t>
  </si>
  <si>
    <t xml:space="preserve">Lower trust, fewer AI citations</t>
  </si>
  <si>
    <t xml:space="preserve">Author boxes for founders/specialists with bios and LinkedIn links.</t>
  </si>
  <si>
    <t xml:space="preserve">0.5 day</t>
  </si>
  <si>
    <t xml:space="preserve">G18</t>
  </si>
  <si>
    <t xml:space="preserve">Medium</t>
  </si>
  <si>
    <t xml:space="preserve">Taxonomy pages are thin and use slugs as titles</t>
  </si>
  <si>
    <t xml:space="preserve">'actionable-strategies | OrbitalX', 'education | OrbitalX'; no intro copy on 13 pages.</t>
  </si>
  <si>
    <t xml:space="preserve">Weak hub pages</t>
  </si>
  <si>
    <t xml:space="preserve">Proper names, 150-word intros, unique metas; noindex categories with &lt;3 posts.</t>
  </si>
  <si>
    <t xml:space="preserve">G19</t>
  </si>
  <si>
    <t xml:space="preserve">30 thin resource pages (&lt;600 words)</t>
  </si>
  <si>
    <t xml:space="preserve">Podcast/webinar/download stubs, culture posts.</t>
  </si>
  <si>
    <t xml:space="preserve">Thin content</t>
  </si>
  <si>
    <t xml:space="preserve">Add summaries, transcripts, takeaways; noindex internal culture posts.</t>
  </si>
  <si>
    <t xml:space="preserve">G20</t>
  </si>
  <si>
    <t xml:space="preserve">Weak H1s on hub pages; paragraphs used as H2s</t>
  </si>
  <si>
    <t xml:space="preserve">/case-studies, /how-it-works, /resources, /contact; 130-word H2 on /services; empty H2 'Results for “ ”'.</t>
  </si>
  <si>
    <t xml:space="preserve">Weaker relevance</t>
  </si>
  <si>
    <t xml:space="preserve">Keyword-led H1s; demote paragraph H2s to &lt;p&gt;.</t>
  </si>
  <si>
    <t xml:space="preserve">G21</t>
  </si>
  <si>
    <t xml:space="preserve">Missing commercial pages</t>
  </si>
  <si>
    <t xml:space="preserve">No pricing, industry (SaaS, PE), comparison or about pages. /pricing and /about return 404.</t>
  </si>
  <si>
    <t xml:space="preserve">No pages for buyer-stage queries</t>
  </si>
  <si>
    <t xml:space="preserve">Build /pricing (or 'What ABM costs'), /industries/saas, /industries/private-equity, /compare/abm-agency-vs-in-house.</t>
  </si>
  <si>
    <t xml:space="preserve">Crawl + SERP</t>
  </si>
  <si>
    <t xml:space="preserve">Plan</t>
  </si>
  <si>
    <t xml:space="preserve">G22</t>
  </si>
  <si>
    <t xml:space="preserve">Performance</t>
  </si>
  <si>
    <t xml:space="preserve">Heavy pages</t>
  </si>
  <si>
    <t xml:space="preserve">Homepage 572 KB HTML, 176 KB inline SVG, 138 PNGs, 102 images without dimensions.</t>
  </si>
  <si>
    <t xml:space="preserve">CWV / CLS risk</t>
  </si>
  <si>
    <t xml:space="preserve">WebP/AVIF via Glide, width/height, SVG sprite.</t>
  </si>
  <si>
    <t xml:space="preserve">1 day dev</t>
  </si>
  <si>
    <t xml:space="preserve">G23</t>
  </si>
  <si>
    <t xml:space="preserve">Social</t>
  </si>
  <si>
    <t xml:space="preserve">Low</t>
  </si>
  <si>
    <t xml:space="preserve">One OG image for all 152 pages</t>
  </si>
  <si>
    <t xml:space="preserve">og-image--15-(1).png everywhere.</t>
  </si>
  <si>
    <t xml:space="preserve">Weak social CTR</t>
  </si>
  <si>
    <t xml:space="preserve">Map og:image to each entry's hero image.</t>
  </si>
  <si>
    <t xml:space="preserve">G24</t>
  </si>
  <si>
    <t xml:space="preserve">Technical</t>
  </si>
  <si>
    <t xml:space="preserve">Sitemap and URL hygiene</t>
  </si>
  <si>
    <t xml:space="preserve">All URLs priority 0.5; 111 lastmod in Sep 2026 (bulk); trailing-slash variants return 200 (canonicalised).</t>
  </si>
  <si>
    <t xml:space="preserve">Minor</t>
  </si>
  <si>
    <t xml:space="preserve">Accurate lastmod; 301 trailing-slash variants.</t>
  </si>
  <si>
    <t xml:space="preserve">G25</t>
  </si>
  <si>
    <t xml:space="preserve">Staging tracker on production</t>
  </si>
  <si>
    <t xml:space="preserve">Script loads from stdemandwebseustage blob store.</t>
  </si>
  <si>
    <t xml:space="preserve">Data quality</t>
  </si>
  <si>
    <t xml:space="preserve">Confirm and switch to production endpoint.</t>
  </si>
  <si>
    <t xml:space="preserve">G26</t>
  </si>
  <si>
    <t xml:space="preserve">AI search</t>
  </si>
  <si>
    <t xml:space="preserve">No llms.txt; some AI citations already exist</t>
  </si>
  <si>
    <t xml:space="preserve">Semrush: cited in Google AI Overview / SearchGPT for 3 pages.</t>
  </si>
  <si>
    <t xml:space="preserve">Missed AI visibility</t>
  </si>
  <si>
    <t xml:space="preserve">Add /llms.txt, clear definitions and FAQ blocks on key pages.</t>
  </si>
  <si>
    <t xml:space="preserve">Quick wins: next 2 weeks</t>
  </si>
  <si>
    <t xml:space="preserve">Ranked by impact relative to effort. Score = Impact × (6 − Effort), both on a 1–5 scale (formula). Edit the Owner and Status columns.</t>
  </si>
  <si>
    <t xml:space="preserve">#</t>
  </si>
  <si>
    <t xml:space="preserve">Action</t>
  </si>
  <si>
    <t xml:space="preserve">Gap ID</t>
  </si>
  <si>
    <t xml:space="preserve">Impact (1–5)</t>
  </si>
  <si>
    <t xml:space="preserve">Effort (1–5)</t>
  </si>
  <si>
    <t xml:space="preserve">Score</t>
  </si>
  <si>
    <t xml:space="preserve">Expected result</t>
  </si>
  <si>
    <t xml:space="preserve">Due</t>
  </si>
  <si>
    <t xml:space="preserve">Rewrite title + meta on the 6 page-1 pages with &lt;1% CTR (demand-gen-vs-pmax, MQL measurement, StackOne, larger market formula, gtm-systems, b2b-go-to-market-strategy)</t>
  </si>
  <si>
    <t xml:space="preserve">Est. +150 clicks/quarter (see Page Opportunities)</t>
  </si>
  <si>
    <t xml:space="preserve">Fix cannibalisation: retitle homepage, /resources/account-based-marketing-services, /resources/demand-gen-agency; category intro links to /services/demand-generation</t>
  </si>
  <si>
    <t xml:space="preserve">One clear target for 'demand gen company' (480/mo)</t>
  </si>
  <si>
    <t xml:space="preserve">Noindex app.orbitalx.com and retitle it from 'Smartlead'</t>
  </si>
  <si>
    <t xml:space="preserve">Dev</t>
  </si>
  <si>
    <t xml:space="preserve">Removes third-party brand from 'orbital x' SERP</t>
  </si>
  <si>
    <t xml:space="preserve">Refresh demand-gen-vs-performance-max: comparison table up top, B2B angle, FAQ (3,004 impr, pos 7.8)</t>
  </si>
  <si>
    <t xml:space="preserve">Highest-impression page-1 article</t>
  </si>
  <si>
    <t xml:space="preserve">Expand how-to-measure-marketing-qualified-leads-effectively (847 words, 1,700 impr, pos 7, 1 click)</t>
  </si>
  <si>
    <t xml:space="preserve">Page-1 page with 0.06% CTR</t>
  </si>
  <si>
    <t xml:space="preserve">Add 1–3 service links in each long guide, starting with the ones that rank</t>
  </si>
  <si>
    <t xml:space="preserve">Passes authority to money pages</t>
  </si>
  <si>
    <t xml:space="preserve">Unique meta descriptions for the 83 articles (top 10 drafted)</t>
  </si>
  <si>
    <t xml:space="preserve">CTR across the blog</t>
  </si>
  <si>
    <t xml:space="preserve">301 the 404 URLs still in Google (/services/earned, /resources-v2, 2 typo URLs, brand-storytelling)</t>
  </si>
  <si>
    <t xml:space="preserve">G08, G09</t>
  </si>
  <si>
    <t xml:space="preserve">Recovers clicks and link equity</t>
  </si>
  <si>
    <t xml:space="preserve">301 the 3 exact duplicates; merge 4 near-duplicates</t>
  </si>
  <si>
    <t xml:space="preserve">Consolidates split rankings</t>
  </si>
  <si>
    <t xml:space="preserve">robots.txt sitemap host, www internal links, GBP/sameAs URLs → non-www</t>
  </si>
  <si>
    <t xml:space="preserve">Gets www out of the index</t>
  </si>
  <si>
    <t xml:space="preserve">Crawlable /resources pagination</t>
  </si>
  <si>
    <t xml:space="preserve">~100 articles discovered and linked</t>
  </si>
  <si>
    <t xml:space="preserve">Submit OrbitalX to 5 roundup publishers + G2/Clutch review drive</t>
  </si>
  <si>
    <t xml:space="preserve">Marketing</t>
  </si>
  <si>
    <t xml:space="preserve">Shortlist visibility and links</t>
  </si>
  <si>
    <t xml:space="preserve">Article + Breadcrumb + Person schema, fix Organization, author bylines</t>
  </si>
  <si>
    <t xml:space="preserve">G16, G17</t>
  </si>
  <si>
    <t xml:space="preserve">E-E-A-T and AI citations</t>
  </si>
  <si>
    <t xml:space="preserve">Page opportunities (GSC pages, last 3 months)</t>
  </si>
  <si>
    <t xml:space="preserve">Target CTR comes from the benchmark table on the right (an assumption: conservative B2B CTR by position; edit it). Potential and Gap are formulas.</t>
  </si>
  <si>
    <t xml:space="preserve">URL</t>
  </si>
  <si>
    <t xml:space="preserve">Segment</t>
  </si>
  <si>
    <t xml:space="preserve">Avg pos</t>
  </si>
  <si>
    <t xml:space="preserve">Target CTR</t>
  </si>
  <si>
    <t xml:space="preserve">Potential clicks</t>
  </si>
  <si>
    <t xml:space="preserve">Notes</t>
  </si>
  <si>
    <t xml:space="preserve">Click gap</t>
  </si>
  <si>
    <t xml:space="preserve">Position from</t>
  </si>
  <si>
    <t xml:space="preserve">Bucket</t>
  </si>
  <si>
    <t xml:space="preserve">https://orbitalx.com/</t>
  </si>
  <si>
    <t xml:space="preserve">Brand / sitelink</t>
  </si>
  <si>
    <t xml:space="preserve">1–3</t>
  </si>
  <si>
    <t xml:space="preserve">https://orbitalx.com/team</t>
  </si>
  <si>
    <t xml:space="preserve">4–6</t>
  </si>
  <si>
    <t xml:space="preserve">https://orbitalx.com/resources/demand-gen-vs-performance-max</t>
  </si>
  <si>
    <t xml:space="preserve">Page 1, low CTR</t>
  </si>
  <si>
    <t xml:space="preserve">7–10</t>
  </si>
  <si>
    <t xml:space="preserve">https://www.orbitalx.com/</t>
  </si>
  <si>
    <t xml:space="preserve">11–20</t>
  </si>
  <si>
    <t xml:space="preserve">https://orbitalx.com/resources/account-based-marketing-webinars</t>
  </si>
  <si>
    <t xml:space="preserve">Striking distance (11–20)</t>
  </si>
  <si>
    <t xml:space="preserve">21+</t>
  </si>
  <si>
    <t xml:space="preserve">https://orbitalx.com/resource-types/webinars-livestream</t>
  </si>
  <si>
    <t xml:space="preserve">OK</t>
  </si>
  <si>
    <t xml:space="preserve">https://domorewithless.orbitalx.com/</t>
  </si>
  <si>
    <t xml:space="preserve">Subdomain / www</t>
  </si>
  <si>
    <t xml:space="preserve">https://orbitalx.com/contact</t>
  </si>
  <si>
    <t xml:space="preserve">https://orbitalx.com/resources/inbound-led-outbound</t>
  </si>
  <si>
    <t xml:space="preserve">https://orbitalx.com/services/earned</t>
  </si>
  <si>
    <t xml:space="preserve">404: redirect</t>
  </si>
  <si>
    <t xml:space="preserve">https://marketingunderattack-uk.orbitalx.com/</t>
  </si>
  <si>
    <t xml:space="preserve">https://orbitalx.com/resources/account-based-marketing-tools</t>
  </si>
  <si>
    <t xml:space="preserve">Deep (21+)</t>
  </si>
  <si>
    <t xml:space="preserve">https://orbitalx.com/services</t>
  </si>
  <si>
    <t xml:space="preserve">Sitelink / nav page</t>
  </si>
  <si>
    <t xml:space="preserve">https://orbitalx.com/services/ai-agents</t>
  </si>
  <si>
    <t xml:space="preserve">https://orbitalx.com/resources/the-larger-market-formula-your-next-b2b-software-success-strategy</t>
  </si>
  <si>
    <t xml:space="preserve">https://orbitalx.com/services/abm</t>
  </si>
  <si>
    <t xml:space="preserve">https://orbitalx.com/resources/demand-gen-funnel</t>
  </si>
  <si>
    <t xml:space="preserve">https://orbitalx.com/services/gtm-engineering</t>
  </si>
  <si>
    <t xml:space="preserve">https://orbitalx.com/resources/from-data-to-demand-the-strategy-behind-demandwebs</t>
  </si>
  <si>
    <t xml:space="preserve">https://orbitalx.com/resources</t>
  </si>
  <si>
    <t xml:space="preserve">https://orbitalx.com/resources/b2b-account-based-marketing</t>
  </si>
  <si>
    <t xml:space="preserve">https://orbitalx.com/platform</t>
  </si>
  <si>
    <t xml:space="preserve">https://orbitalx.com/resources/gtm-systems</t>
  </si>
  <si>
    <t xml:space="preserve">https://orbitalx.com/resources/how-the-smartest-hire-grew-pipeline-at-private-equity-backed-cylindo-without-a-marketing-team</t>
  </si>
  <si>
    <t xml:space="preserve">https://orbitalx.com/case-studies</t>
  </si>
  <si>
    <t xml:space="preserve">https://orbitalx.com/resources/lead-generation-cost-per-lead</t>
  </si>
  <si>
    <t xml:space="preserve">https://marketingunderattack-au.orbitalx.com/</t>
  </si>
  <si>
    <t xml:space="preserve">https://orbitalx.com/resources/demandwebs-your-simple-path-to-b2b-growth</t>
  </si>
  <si>
    <t xml:space="preserve">https://orbitalx.com/resources/how-to-measure-marketing-qualified-leads-effectively</t>
  </si>
  <si>
    <t xml:space="preserve">https://orbitalx.com/resources/behind-the-numbers-how-yieldify-made-every-rep-count</t>
  </si>
  <si>
    <t xml:space="preserve">https://orbitalx.com/resources/demand-gen-software</t>
  </si>
  <si>
    <t xml:space="preserve">https://orbitalx.com/resources/b2b-go-to-market-strategy</t>
  </si>
  <si>
    <t xml:space="preserve">https://orbitalx.com/resources/how-occy-unlocked-faster-growth-without-more-headcount</t>
  </si>
  <si>
    <t xml:space="preserve">https://orbitalx.com/resources/b2b-marketing-funnel</t>
  </si>
  <si>
    <t xml:space="preserve">https://orbitalx.com/be-a-guest</t>
  </si>
  <si>
    <t xml:space="preserve">https://orbitalx.com/resources/how-engagetech-continues-to-build-pipeline-win-deals-and-lead-its-category-with-zero-internal-marketers</t>
  </si>
  <si>
    <t xml:space="preserve">https://orbitalx.com/resources/b2b-marketing-and-sales-alignment</t>
  </si>
  <si>
    <t xml:space="preserve">https://orbitalx.com/resources/b2b-marketing-metrics</t>
  </si>
  <si>
    <t xml:space="preserve">https://orbitalx.com/resources/b2b-demand-generation-marketing</t>
  </si>
  <si>
    <t xml:space="preserve">https://orbitalx.com/resources/building-world-class-watchable-content</t>
  </si>
  <si>
    <t xml:space="preserve">https://orbitalx.com/legal/privacy-policy</t>
  </si>
  <si>
    <t xml:space="preserve">https://orbitalx.com/competitor-intelligence-report</t>
  </si>
  <si>
    <t xml:space="preserve">https://orbitalx.com/resources/b2b-demand-gen</t>
  </si>
  <si>
    <t xml:space="preserve">https://orbitalx.com/resources/account-based-marketing-analytics</t>
  </si>
  <si>
    <t xml:space="preserve">https://orbitalx.com/resources/lead-generation-strategies</t>
  </si>
  <si>
    <t xml:space="preserve">https://orbitalx.com/resources/forget-7-touchpoints-b2b-buyers-now-take-80-interactions-to-convert</t>
  </si>
  <si>
    <t xml:space="preserve">https://orbitalx.com/resources/lead-generation-outsourcing</t>
  </si>
  <si>
    <t xml:space="preserve">https://episode4.domorewithless.orbitalx.com/</t>
  </si>
  <si>
    <t xml:space="preserve">https://orbitalx.com/resources/lead-generation-for-technology-companies</t>
  </si>
  <si>
    <t xml:space="preserve">https://orbitalx.com/resources/b2b-marketing-webinars</t>
  </si>
  <si>
    <t xml:space="preserve">https://orbitalx.com/resources/mqls-reframed-why-signals-drive-smarter-sales-conversations</t>
  </si>
  <si>
    <t xml:space="preserve">https://orbitalx.com/resources/b2b-marketing-consultant</t>
  </si>
  <si>
    <t xml:space="preserve">https://orbitalx.com/resources/james-demand-generation-playbook</t>
  </si>
  <si>
    <t xml:space="preserve">https://orbitalx.com/resources/lead-generation-software</t>
  </si>
  <si>
    <t xml:space="preserve">https://orbitalx.com/resources/portfolio-pipeline-blueprint-pe-backed-growth</t>
  </si>
  <si>
    <t xml:space="preserve">https://orbitalx.com/resources/how-to-improve-webinar-marketing-6-reasons-6-solutions</t>
  </si>
  <si>
    <t xml:space="preserve">https://orbitalx.com/resources/the-abm-content-intelligence-blueprint-download</t>
  </si>
  <si>
    <t xml:space="preserve">https://orbitalx.com/resource-types/blog</t>
  </si>
  <si>
    <t xml:space="preserve">https://orbitalx.com/resources/orbitalx-webinars-and-livestreams-full</t>
  </si>
  <si>
    <t xml:space="preserve">https://orbitalx.com/resources/early-stage-critical-moments-podcast</t>
  </si>
  <si>
    <t xml:space="preserve">https://orbitalx.com/resources/from-data-overload-to-deal-velocity-how-stackone-scaled-outbound-with-orbitalx</t>
  </si>
  <si>
    <t xml:space="preserve">https://orbitalx.com/resources/account-based-marketing-personalization</t>
  </si>
  <si>
    <t xml:space="preserve">https://orbitalx.com/resources/account-based-marketing-software</t>
  </si>
  <si>
    <t xml:space="preserve">https://orbitalx.com/resources/demand-generation-programs</t>
  </si>
  <si>
    <t xml:space="preserve">https://app.orbitalx.com/</t>
  </si>
  <si>
    <t xml:space="preserve">https://orbitalx.com/services/owned</t>
  </si>
  <si>
    <t xml:space="preserve">https://orbitalx.com/services/paid</t>
  </si>
  <si>
    <t xml:space="preserve">https://orbitalx.com/resources/unlocking-growth-with-emails-the-power-of-targeted-outreach-in-demand-generation</t>
  </si>
  <si>
    <t xml:space="preserve">https://orbitalx.com/resources/lead-generation-vs-demand-generation-understanding-the-differences-and-benefits</t>
  </si>
  <si>
    <t xml:space="preserve">https://orbitalx.com/how-it-works</t>
  </si>
  <si>
    <t xml:space="preserve">https://orbitalx.com/resources/demand-gen-agency</t>
  </si>
  <si>
    <t xml:space="preserve">https://orbitalx.com/resources/b2b-marketing</t>
  </si>
  <si>
    <t xml:space="preserve">https://orbitalx.com/resources/b2b-marketing-budget</t>
  </si>
  <si>
    <t xml:space="preserve">https://orbitalx.com/resources/performance-marketing-optimization</t>
  </si>
  <si>
    <t xml:space="preserve">https://orbitalx.com/resources/how-to-measure-account-based-marketing</t>
  </si>
  <si>
    <t xml:space="preserve">https://orbitalx.com/resources/lead-generation-chatbot</t>
  </si>
  <si>
    <t xml:space="preserve">https://orbitalx.com/resources/b2b-marketing-trends-2026</t>
  </si>
  <si>
    <t xml:space="preserve">https://orbitalx.com/resource-types/download</t>
  </si>
  <si>
    <t xml:space="preserve">https://orbitalx.com/resources/performance-marketing-tools</t>
  </si>
  <si>
    <t xml:space="preserve">https://orbitalx.com/blog-categories/demand-generation</t>
  </si>
  <si>
    <t xml:space="preserve">https://orbitalx.com/resources/the-4-step-flywheel-effect-a-proven-evergreen-framework-for-gtm-success</t>
  </si>
  <si>
    <t xml:space="preserve">https://orbitalx.com/resources/how-bold-commerce-maximised-growth-in-their-most-critical-channels</t>
  </si>
  <si>
    <t xml:space="preserve">https://orbitalx.com/legal/terms-of-service</t>
  </si>
  <si>
    <t xml:space="preserve">https://orbitalx.com/resources/b2b-partner-marketing</t>
  </si>
  <si>
    <t xml:space="preserve">https://orbitalx.com/resources/from-blocked-to-booked-levantas-journey-with-orbitalx-to-8x-more-meetings</t>
  </si>
  <si>
    <t xml:space="preserve">https://orbitalx.com/resources/b2b-content-marketing-funnel</t>
  </si>
  <si>
    <t xml:space="preserve">https://orbitalx.com/resources/demand-gen-strategy</t>
  </si>
  <si>
    <t xml:space="preserve">https://orbitalx.com/resources/enterprise-account-based-marketing</t>
  </si>
  <si>
    <t xml:space="preserve">https://orbitalx.com/resources/ai-lead-generation</t>
  </si>
  <si>
    <t xml:space="preserve">https://orbitalx.com/resources/b2b-marketing-strategies</t>
  </si>
  <si>
    <t xml:space="preserve">https://orbitalx.com/resources/b2b-marketing-plan</t>
  </si>
  <si>
    <t xml:space="preserve">https://orbitalx.com/resources/b2b-marketing-automation-examples</t>
  </si>
  <si>
    <t xml:space="preserve">https://orbitalx.com/services/demand-generation</t>
  </si>
  <si>
    <t xml:space="preserve">https://orbitalx.com/resources/inbound-lead-generation</t>
  </si>
  <si>
    <t xml:space="preserve">https://orbitalx.com/resources/b2b-market-segmentation</t>
  </si>
  <si>
    <t xml:space="preserve">https://orbitalx.com/resources/leveraging-the-myers-briggs-framework-to-tailor-customer-content</t>
  </si>
  <si>
    <t xml:space="preserve">https://orbitalx.com/resources/the-ai-powered-abm-blueprint</t>
  </si>
  <si>
    <t xml:space="preserve">https://orbitalx.com/resources/how-lean-marketing-teams-can-still-dominate-their-market</t>
  </si>
  <si>
    <t xml:space="preserve">https://orbitalx.com/resources/lead-generation-metrics</t>
  </si>
  <si>
    <t xml:space="preserve">https://orbitalx.com/resources/b2b-marketing-ideas</t>
  </si>
  <si>
    <t xml:space="preserve">https://orbitalx.com/resources/b2b-marketing-automation</t>
  </si>
  <si>
    <t xml:space="preserve">https://orbitalx.com/resources/abm-vs-lead-generation</t>
  </si>
  <si>
    <t xml:space="preserve">https://orbitalx.com/resources/b2b-referral-marketing</t>
  </si>
  <si>
    <t xml:space="preserve">https://orbitalx.com/resources/account-based-marketing-services</t>
  </si>
  <si>
    <t xml:space="preserve">https://orbitalx.com/resources/a-pe-backed-company-cut-marketing-from-12-people-to-3-then-had-its-best-six-months-ever</t>
  </si>
  <si>
    <t xml:space="preserve">https://orbitalx.com/resources/account-based-marketing-tactics</t>
  </si>
  <si>
    <t xml:space="preserve">https://orbitalx.com/resources/do-more-with-less-12-lessons-from-12-months-1</t>
  </si>
  <si>
    <t xml:space="preserve">https://orbitalx.com/resources/what-is-all-bound-understanding-the-strategy-behind-comprehensive-sales-approaches</t>
  </si>
  <si>
    <t xml:space="preserve">https://orbitalx.com/resources/what-are-the-most-innovative-b2b-demand-generation-techniques-that-work</t>
  </si>
  <si>
    <t xml:space="preserve">https://fixcoldoutbound.orbitalx.com/</t>
  </si>
  <si>
    <t xml:space="preserve">https://orbitalx.com/resources/the-top-5-ai-b2b-marketing-strategies-for-2026</t>
  </si>
  <si>
    <t xml:space="preserve">https://orbitalx.com/resources/organic-lead-generation</t>
  </si>
  <si>
    <t xml:space="preserve">https://orbitalx.com/blog-categories/b2b-marketing</t>
  </si>
  <si>
    <t xml:space="preserve">https://orbitalx.com/resources/the-portfolio-pipeline-marketing-blueprint</t>
  </si>
  <si>
    <t xml:space="preserve">https://orbitalx.com/assets/unlock-enterprise-value.pdf</t>
  </si>
  <si>
    <t xml:space="preserve">https://orbitalx.com/resources/mastering-storytelling-how-b2b-brands-can-stimulate-their-market</t>
  </si>
  <si>
    <t xml:space="preserve">https://orbitalx.com/resources/how-broken-internal-trust-is-killing-your-bdr-performance</t>
  </si>
  <si>
    <t xml:space="preserve">https://orbitalx.com/resources/abm-for-lean-teams-ai-agents-rewriting-abm-account-playbook</t>
  </si>
  <si>
    <t xml:space="preserve">https://orbitalx.com/resource-types/video</t>
  </si>
  <si>
    <t xml:space="preserve">https://episode5.domorewithless.orbitalx.com/</t>
  </si>
  <si>
    <t xml:space="preserve">https://orbitalx.com/resources/you-cant-scale-demand-generation-without-business-development-foundations</t>
  </si>
  <si>
    <t xml:space="preserve">https://orbitalx.com/resources/your-team-is-producing-more-content-than-ever-is-any-of-it-working</t>
  </si>
  <si>
    <t xml:space="preserve">https://orbitalx.com/blog-categories/case-studies</t>
  </si>
  <si>
    <t xml:space="preserve">https://orbitalx.com/resources/what-is-demand-generation</t>
  </si>
  <si>
    <t xml:space="preserve">https://orbitalx.com/blog-categories/account-based-marketing</t>
  </si>
  <si>
    <t xml:space="preserve">https://orbitalx.com/resources/building-trust-in-b2b-the-cornerstone-of-long-term-success</t>
  </si>
  <si>
    <t xml:space="preserve">https://orbitalx.com/resources/to-gate-or-un-gate-strategies-on-how-to-make-your-b2b-brand-binge-able</t>
  </si>
  <si>
    <t xml:space="preserve">https://orbitalx.com/resources/ten-good-things-about-b2b-marketing-right-now</t>
  </si>
  <si>
    <t xml:space="preserve">https://orbitalx.com/resources/how-a-legal-pioneer-flipped-a-switch-to-start-generating-high-value-conversations-and-leads</t>
  </si>
  <si>
    <t xml:space="preserve">https://orbitalx.com/resources/your-way-to-the-darksocial</t>
  </si>
  <si>
    <t xml:space="preserve">https://episode6.domorewithless.orbitalx.com/</t>
  </si>
  <si>
    <t xml:space="preserve">https://orbitalx.com/resources/how-elastic-is-your-brand-story</t>
  </si>
  <si>
    <t xml:space="preserve">https://orbitalx.com/blog-categories/actionable-strategies</t>
  </si>
  <si>
    <t xml:space="preserve">https://orbitalx.com/resources/founder-diaries-orbitalx-in-the-philippines</t>
  </si>
  <si>
    <t xml:space="preserve">https://orbitalx.com/resources/trust-is-the-new-outbound-strategy</t>
  </si>
  <si>
    <t xml:space="preserve">https://orbitalx.com/resources/unlock-enterprise-value-with-ai-and-abm-in-pe-value-creation</t>
  </si>
  <si>
    <t xml:space="preserve">https://orbitalx.com/resources/3-actionable-tips-on-how-to-target-your-full-target-market</t>
  </si>
  <si>
    <t xml:space="preserve">https://orbitalx.com/blog-categories/gtm-engineering</t>
  </si>
  <si>
    <t xml:space="preserve">https://orbitalx.com/resources/abm-content-that-breaks-through-why-only-undeniably-human-stories-convert-tier-one-accounts</t>
  </si>
  <si>
    <t xml:space="preserve">https://orbitalx.com/resources/the-future-b2b-marketing-metric-marketing-per-marketer-mpm</t>
  </si>
  <si>
    <t xml:space="preserve">https://orbitalx.com/resources/marketing-per-marketer-how-b2b-will-measure-success-for-the-next-decade</t>
  </si>
  <si>
    <t xml:space="preserve">https://orbitalx.com/resources/why-cost-efficient-growth-starts-with-understanding-gtm-efficiency</t>
  </si>
  <si>
    <t xml:space="preserve">https://orbitalx.com/blog-categories/education</t>
  </si>
  <si>
    <t xml:space="preserve">https://orbitalx.com/blog-categories/pipeline-plays</t>
  </si>
  <si>
    <t xml:space="preserve">https://orbitalx.com/resources/orbitalx-culture</t>
  </si>
  <si>
    <t xml:space="preserve">https://orbitalx.com/resources/marketing-under-attack-how-not-to-get-fired-as-a-cmo</t>
  </si>
  <si>
    <t xml:space="preserve">https://orbitalx.com/resources/the-four-step-flywheel-effect-that-is-defining-gtm-success-in-2025</t>
  </si>
  <si>
    <t xml:space="preserve">https://orbitalx.com/resources/critical-moments-season-2</t>
  </si>
  <si>
    <t xml:space="preserve">https://orbitalx.com/resources/go-to-market-memo-by-stuart-our-co-founder-stuart-dale-breaks-down-winning-gtm-strategies-and-insights-you-can-apply-today</t>
  </si>
  <si>
    <t xml:space="preserve">https://orbitalx.com/resources/how-not-to-get-fired-as-a-cmo</t>
  </si>
  <si>
    <t xml:space="preserve">https://orbitalx.com/resources/marketing-under-attack-the-secret-to-being-seen-everywhere-by-your-audience</t>
  </si>
  <si>
    <t xml:space="preserve">https://orbitalx.com/resources-v2</t>
  </si>
  <si>
    <t xml:space="preserve">https://orbitalx.com/resources/big-uncommon-thinking-how-top-c-suite-leaders-use-uncommon-thinking-to-spark-money-making-b2b-growth-machines</t>
  </si>
  <si>
    <t xml:space="preserve">https://orbitalx.com/resources/demand-net-vs-performance-max</t>
  </si>
  <si>
    <t xml:space="preserve">https://orbitalx.com/resources/account-abased-marketing-tools</t>
  </si>
  <si>
    <t xml:space="preserve">https://orbitalx.com/resources/how-to-prevent-a-pipeline-performance-slump-in-2025-without-increasing-spend</t>
  </si>
  <si>
    <t xml:space="preserve">https://orbitalx.com/blog-categories/brand-storytelling</t>
  </si>
  <si>
    <t xml:space="preserve">https://orbitalx.com/resources/how-to-prevent-a-pipeline-performance-slump-without-increasing-spend</t>
  </si>
  <si>
    <t xml:space="preserve">Keyword plan</t>
  </si>
  <si>
    <t xml:space="preserve">Rows marked 'Semrush US' use real data (12 Oct 2026). Rows marked 'New: verify' are target ideas from SERP research: pull UK + US volume/KD in Semrush before committing.</t>
  </si>
  <si>
    <t xml:space="preserve">Cluster</t>
  </si>
  <si>
    <t xml:space="preserve">Keyword</t>
  </si>
  <si>
    <t xml:space="preserve">Data source</t>
  </si>
  <si>
    <t xml:space="preserve">US volume</t>
  </si>
  <si>
    <t xml:space="preserve">KD</t>
  </si>
  <si>
    <t xml:space="preserve">CPC ($)</t>
  </si>
  <si>
    <t xml:space="preserve">Current pos (US)</t>
  </si>
  <si>
    <t xml:space="preserve">Target URL</t>
  </si>
  <si>
    <t xml:space="preserve">Intent</t>
  </si>
  <si>
    <t xml:space="preserve">Demand gen</t>
  </si>
  <si>
    <t xml:space="preserve">demand gen vs performance max</t>
  </si>
  <si>
    <t xml:space="preserve">Semrush US</t>
  </si>
  <si>
    <t xml:space="preserve">/resources/demand-gen-vs-performance-max</t>
  </si>
  <si>
    <t xml:space="preserve">P1</t>
  </si>
  <si>
    <t xml:space="preserve">Refresh: comparison table, B2B angle, FAQ. GSC: 3,004 impr, pos 7.8, 0.6% CTR.</t>
  </si>
  <si>
    <t xml:space="preserve">demand gen software</t>
  </si>
  <si>
    <t xml:space="preserve">/resources/demand-gen-software</t>
  </si>
  <si>
    <t xml:space="preserve">Ranked tool table + pricing; keyword-first title.</t>
  </si>
  <si>
    <t xml:space="preserve">demand gen company</t>
  </si>
  <si>
    <t xml:space="preserve">/services/demand-generation</t>
  </si>
  <si>
    <t xml:space="preserve">Retarget from category page to service page.</t>
  </si>
  <si>
    <t xml:space="preserve">demand generation program</t>
  </si>
  <si>
    <t xml:space="preserve">/resources/demand-generation-programs</t>
  </si>
  <si>
    <t xml:space="preserve">Informational</t>
  </si>
  <si>
    <t xml:space="preserve">P2</t>
  </si>
  <si>
    <t xml:space="preserve">Unique meta, template download, internal links.</t>
  </si>
  <si>
    <t xml:space="preserve">demand gen firm</t>
  </si>
  <si>
    <t xml:space="preserve">Synonym coverage on service page (H2/FAQ).</t>
  </si>
  <si>
    <t xml:space="preserve">difference between demand gen and lead gen</t>
  </si>
  <si>
    <t xml:space="preserve">/resources/lead-generation-vs-demand-generation-understanding-the-differences-and-benefits</t>
  </si>
  <si>
    <t xml:space="preserve">Merge with what-is-demand-generation into one definitive page.</t>
  </si>
  <si>
    <t xml:space="preserve">ABM</t>
  </si>
  <si>
    <t xml:space="preserve">account based marketing vendors</t>
  </si>
  <si>
    <t xml:space="preserve">/resources/account-based-marketing-tools</t>
  </si>
  <si>
    <t xml:space="preserve">ABM vendors/platforms H2s; 2026 comparison table.</t>
  </si>
  <si>
    <t xml:space="preserve">account based marketing platform</t>
  </si>
  <si>
    <t xml:space="preserve">Same refresh; CPC $91.81 shows commercial value.</t>
  </si>
  <si>
    <t xml:space="preserve">account based marketing solutions</t>
  </si>
  <si>
    <t xml:space="preserve">/services/abm</t>
  </si>
  <si>
    <t xml:space="preserve">Currently ranks via tools post (#79); move intent to service page.</t>
  </si>
  <si>
    <t xml:space="preserve">account based marketing planning services</t>
  </si>
  <si>
    <t xml:space="preserve">Service-intent query ranking via blog (#69); add 'ABM planning' section to service page.</t>
  </si>
  <si>
    <t xml:space="preserve">personalization in account based marketing means</t>
  </si>
  <si>
    <t xml:space="preserve">/resources/account-based-marketing-personalization</t>
  </si>
  <si>
    <t xml:space="preserve">P3</t>
  </si>
  <si>
    <t xml:space="preserve">Add a definition paragraph near the top.</t>
  </si>
  <si>
    <t xml:space="preserve">account based marketing content strategy</t>
  </si>
  <si>
    <t xml:space="preserve">/resources/b2b-account-based-marketing</t>
  </si>
  <si>
    <t xml:space="preserve">Add content-strategy H2; GSC 1,420 impr at pos 38.</t>
  </si>
  <si>
    <t xml:space="preserve">AI agents</t>
  </si>
  <si>
    <t xml:space="preserve">ai marketing agent qualify intent book meetings</t>
  </si>
  <si>
    <t xml:space="preserve">/resources/ai-lead-generation</t>
  </si>
  <si>
    <t xml:space="preserve">Matching H2; link to /services/ai-agents.</t>
  </si>
  <si>
    <t xml:space="preserve">Paid</t>
  </si>
  <si>
    <t xml:space="preserve">performance marketing job category signals</t>
  </si>
  <si>
    <t xml:space="preserve">/resources/performance-marketing-tools</t>
  </si>
  <si>
    <t xml:space="preserve">Short section; remove overlap from demand-gen-software.</t>
  </si>
  <si>
    <t xml:space="preserve">abm agency</t>
  </si>
  <si>
    <t xml:space="preserve">New: verify</t>
  </si>
  <si>
    <t xml:space="preserve">Core money term. SERP = agency pages + 'best ABM agencies' roundups.</t>
  </si>
  <si>
    <t xml:space="preserve">abm agency uk</t>
  </si>
  <si>
    <t xml:space="preserve">UK is the click-converting market (GSC). Competitors: strategicabm, Gripped, AmbitionABM.</t>
  </si>
  <si>
    <t xml:space="preserve">account based marketing agency</t>
  </si>
  <si>
    <t xml:space="preserve">Title/H1 variant coverage.</t>
  </si>
  <si>
    <t xml:space="preserve">abm agency pricing / abm cost</t>
  </si>
  <si>
    <t xml:space="preserve">/pricing (new)</t>
  </si>
  <si>
    <t xml:space="preserve">bestabmagencies.com ranks a pricing page; nobody in OrbitalX's tier publishes a clear one.</t>
  </si>
  <si>
    <t xml:space="preserve">abm agency vs in-house</t>
  </si>
  <si>
    <t xml:space="preserve">/compare/abm-agency-vs-in-house (new)</t>
  </si>
  <si>
    <t xml:space="preserve">Reuses homepage 'What it costs to build this yourself' content.</t>
  </si>
  <si>
    <t xml:space="preserve">abm for saas</t>
  </si>
  <si>
    <t xml:space="preserve">/industries/saas (new)</t>
  </si>
  <si>
    <t xml:space="preserve">Most case studies are SaaS.</t>
  </si>
  <si>
    <t xml:space="preserve">abm examples</t>
  </si>
  <si>
    <t xml:space="preserve">/resources/abm-examples (new)</t>
  </si>
  <si>
    <t xml:space="preserve">Case-study-led listicle.</t>
  </si>
  <si>
    <t xml:space="preserve">b2b demand generation agency uk</t>
  </si>
  <si>
    <t xml:space="preserve">SERP owned by Blend, Polaris, B2B Marketing, Directive UK roundups.</t>
  </si>
  <si>
    <t xml:space="preserve">GTM eng.</t>
  </si>
  <si>
    <t xml:space="preserve">gtm engineering</t>
  </si>
  <si>
    <t xml:space="preserve">/resources/what-is-gtm-engineering (new)</t>
  </si>
  <si>
    <t xml:space="preserve">SERP is mostly job posts and fractional firms: early-mover opportunity.</t>
  </si>
  <si>
    <t xml:space="preserve">gtm engineering agency / services</t>
  </si>
  <si>
    <t xml:space="preserve">/services/gtm-engineering</t>
  </si>
  <si>
    <t xml:space="preserve">Few established agency pages rank.</t>
  </si>
  <si>
    <t xml:space="preserve">hubspot salesforce lead routing</t>
  </si>
  <si>
    <t xml:space="preserve">/resources/hubspot-salesforce-lead-routing (new)</t>
  </si>
  <si>
    <t xml:space="preserve">Supports GTM engineering service.</t>
  </si>
  <si>
    <t xml:space="preserve">ai sdr / ai agents for b2b marketing</t>
  </si>
  <si>
    <t xml:space="preserve">/resources/ai-agents-for-b2b-marketing (new)</t>
  </si>
  <si>
    <t xml:space="preserve">Supports /services/ai-agents.</t>
  </si>
  <si>
    <t xml:space="preserve">PE</t>
  </si>
  <si>
    <t xml:space="preserve">marketing for private equity portfolio companies</t>
  </si>
  <si>
    <t xml:space="preserve">/industries/private-equity (new)</t>
  </si>
  <si>
    <t xml:space="preserve">Existing PE content + Cylindo case study.</t>
  </si>
  <si>
    <t xml:space="preserve">linkedin ads agency b2b</t>
  </si>
  <si>
    <t xml:space="preserve">/services/paid</t>
  </si>
  <si>
    <t xml:space="preserve">/services/paid is only 568 words.</t>
  </si>
  <si>
    <t xml:space="preserve">Earned</t>
  </si>
  <si>
    <t xml:space="preserve">b2b earned media / b2b podcast marketing</t>
  </si>
  <si>
    <t xml:space="preserve">/services/earned (restore)</t>
  </si>
  <si>
    <t xml:space="preserve">Page got clicks before it went 404.</t>
  </si>
  <si>
    <t xml:space="preserve">Content plan: Nov 2026 – Apr 2027</t>
  </si>
  <si>
    <t xml:space="preserve">Refresh what already earns impressions first, then build missing commercial pages, then link-worthy assets. ~4 pieces a month.</t>
  </si>
  <si>
    <t xml:space="preserve">Type</t>
  </si>
  <si>
    <t xml:space="preserve">Working title</t>
  </si>
  <si>
    <t xml:space="preserve">Primary keyword</t>
  </si>
  <si>
    <t xml:space="preserve">Link to</t>
  </si>
  <si>
    <t xml:space="preserve">Why / evidence</t>
  </si>
  <si>
    <t xml:space="preserve">Nov 2026</t>
  </si>
  <si>
    <t xml:space="preserve">Refresh</t>
  </si>
  <si>
    <t xml:space="preserve">Demand Gen vs Performance Max: Which Google Ads Campaign for B2B?</t>
  </si>
  <si>
    <t xml:space="preserve">GSC 3,004 impr, pos 7.8</t>
  </si>
  <si>
    <t xml:space="preserve">How to Measure MQLs (and What to Track Instead)</t>
  </si>
  <si>
    <t xml:space="preserve">how to measure marketing qualified leads</t>
  </si>
  <si>
    <t xml:space="preserve">/resources/how-to-measure-marketing-qualified-leads-effectively</t>
  </si>
  <si>
    <t xml:space="preserve">GSC 1,700 impr, pos 7, 847 words</t>
  </si>
  <si>
    <t xml:space="preserve">Service page</t>
  </si>
  <si>
    <t xml:space="preserve">Rebuild: B2B Demand Generation Agency</t>
  </si>
  <si>
    <t xml:space="preserve">demand gen company / agency</t>
  </si>
  <si>
    <t xml:space="preserve">—</t>
  </si>
  <si>
    <t xml:space="preserve">Semrush 'demand gen company' #25 via category page</t>
  </si>
  <si>
    <t xml:space="preserve">17 Best ABM Tools &amp; Platforms (2026 Comparison)</t>
  </si>
  <si>
    <t xml:space="preserve">account based marketing platform / vendors</t>
  </si>
  <si>
    <t xml:space="preserve">GSC 6,393 impr, pos 30</t>
  </si>
  <si>
    <t xml:space="preserve">Dec 2026</t>
  </si>
  <si>
    <t xml:space="preserve">Rebuild: Account-Based Marketing Agency (UK)</t>
  </si>
  <si>
    <t xml:space="preserve">Only ranks for 'abx campaign' #80</t>
  </si>
  <si>
    <t xml:space="preserve">Restore</t>
  </si>
  <si>
    <t xml:space="preserve">Earned Media for B2B: PR, Podcasts &amp; Communities</t>
  </si>
  <si>
    <t xml:space="preserve">b2b earned media</t>
  </si>
  <si>
    <t xml:space="preserve">/services/earned</t>
  </si>
  <si>
    <t xml:space="preserve">/services</t>
  </si>
  <si>
    <t xml:space="preserve">404 with 67 impr / 4 clicks</t>
  </si>
  <si>
    <t xml:space="preserve">Demand Gen Software: 12 Tools Compared</t>
  </si>
  <si>
    <t xml:space="preserve">Semrush #17</t>
  </si>
  <si>
    <t xml:space="preserve">Merge</t>
  </si>
  <si>
    <t xml:space="preserve">Demand Generation vs Lead Generation: The Definitive Guide</t>
  </si>
  <si>
    <t xml:space="preserve">/resources/lead-generation-vs-demand-generation-…</t>
  </si>
  <si>
    <t xml:space="preserve">Merge what-is-demand-generation + 301</t>
  </si>
  <si>
    <t xml:space="preserve">Jan 2027</t>
  </si>
  <si>
    <t xml:space="preserve">New (commercial)</t>
  </si>
  <si>
    <t xml:space="preserve">What Does an ABM Agency Cost? UK Pricing Guide</t>
  </si>
  <si>
    <t xml:space="preserve">abm agency pricing</t>
  </si>
  <si>
    <t xml:space="preserve">/pricing</t>
  </si>
  <si>
    <t xml:space="preserve">/services/abm, /contact</t>
  </si>
  <si>
    <t xml:space="preserve">Competitor bestabmagencies ranks a pricing page</t>
  </si>
  <si>
    <t xml:space="preserve">ABM Agency vs In-House: Cost, Speed and Results</t>
  </si>
  <si>
    <t xml:space="preserve">/compare/abm-agency-vs-in-house</t>
  </si>
  <si>
    <t xml:space="preserve">Reuse homepage cost comparison</t>
  </si>
  <si>
    <t xml:space="preserve">New</t>
  </si>
  <si>
    <t xml:space="preserve">How to Choose an ABM Agency in the UK (Checklist + Questions)</t>
  </si>
  <si>
    <t xml:space="preserve">/resources/how-to-choose-an-abm-agency</t>
  </si>
  <si>
    <t xml:space="preserve">Captures roundup-style intent fairly</t>
  </si>
  <si>
    <t xml:space="preserve">StackOne case study: metric-led title and summary</t>
  </si>
  <si>
    <t xml:space="preserve">stackone / outbound case study</t>
  </si>
  <si>
    <t xml:space="preserve">Proof</t>
  </si>
  <si>
    <t xml:space="preserve">/resources/from-data-overload-to-deal-velocity-…</t>
  </si>
  <si>
    <t xml:space="preserve">/case-studies</t>
  </si>
  <si>
    <t xml:space="preserve">GSC 1,010 impr, pos 8.6, 0 clicks</t>
  </si>
  <si>
    <t xml:space="preserve">Feb 2027</t>
  </si>
  <si>
    <t xml:space="preserve">New (pillar)</t>
  </si>
  <si>
    <t xml:space="preserve">What Is GTM Engineering? Definition, Stack and Examples</t>
  </si>
  <si>
    <t xml:space="preserve">/resources/what-is-gtm-engineering</t>
  </si>
  <si>
    <t xml:space="preserve">Low-competition SERP</t>
  </si>
  <si>
    <t xml:space="preserve">HubSpot–Salesforce Lead Routing: A Practical Guide</t>
  </si>
  <si>
    <t xml:space="preserve">/resources/hubspot-salesforce-lead-routing</t>
  </si>
  <si>
    <t xml:space="preserve">AI Agents for B2B Marketing: 9 Use Cases That Work</t>
  </si>
  <si>
    <t xml:space="preserve">ai agents for b2b marketing</t>
  </si>
  <si>
    <t xml:space="preserve">/resources/ai-agents-for-b2b-marketing</t>
  </si>
  <si>
    <t xml:space="preserve">/services/ai-agents</t>
  </si>
  <si>
    <t xml:space="preserve">Industry page</t>
  </si>
  <si>
    <t xml:space="preserve">ABM &amp; Demand Gen for SaaS Companies</t>
  </si>
  <si>
    <t xml:space="preserve">/industries/saas</t>
  </si>
  <si>
    <t xml:space="preserve">Most case studies are SaaS</t>
  </si>
  <si>
    <t xml:space="preserve">Mar 2027</t>
  </si>
  <si>
    <t xml:space="preserve">Pipeline Marketing for PE Portfolio Companies</t>
  </si>
  <si>
    <t xml:space="preserve">/industries/private-equity</t>
  </si>
  <si>
    <t xml:space="preserve">Existing PE content + Cylindo</t>
  </si>
  <si>
    <t xml:space="preserve">Link asset</t>
  </si>
  <si>
    <t xml:space="preserve">State of B2B Pipeline for Lean Teams 2027 (data report)</t>
  </si>
  <si>
    <t xml:space="preserve">b2b pipeline benchmarks</t>
  </si>
  <si>
    <t xml:space="preserve">Authority</t>
  </si>
  <si>
    <t xml:space="preserve">/resources/state-of-b2b-pipeline-2027</t>
  </si>
  <si>
    <t xml:space="preserve">/competitor-intelligence-report</t>
  </si>
  <si>
    <t xml:space="preserve">Anonymised 100+ client dataset; pitch to press</t>
  </si>
  <si>
    <t xml:space="preserve">Account-Based Webinars guide</t>
  </si>
  <si>
    <t xml:space="preserve">account based marketing webinars</t>
  </si>
  <si>
    <t xml:space="preserve">/resources/account-based-marketing-webinars</t>
  </si>
  <si>
    <t xml:space="preserve">/services/owned</t>
  </si>
  <si>
    <t xml:space="preserve">GSC 581 impr, pos 11</t>
  </si>
  <si>
    <t xml:space="preserve">B2B Account-Based Marketing: The Full Guide</t>
  </si>
  <si>
    <t xml:space="preserve">b2b account based marketing</t>
  </si>
  <si>
    <t xml:space="preserve">GSC 1,420 impr, pos 38</t>
  </si>
  <si>
    <t xml:space="preserve">Apr 2027</t>
  </si>
  <si>
    <t xml:space="preserve">LinkedIn Ads for B2B: Targeting, Budgets and Benchmarks</t>
  </si>
  <si>
    <t xml:space="preserve">linkedin ads b2b</t>
  </si>
  <si>
    <t xml:space="preserve">/resources/linkedin-ads-b2b</t>
  </si>
  <si>
    <t xml:space="preserve">/services/paid is thin</t>
  </si>
  <si>
    <t xml:space="preserve">Marketing per Marketer (MPM): The Definitive Metric</t>
  </si>
  <si>
    <t xml:space="preserve">marketing per marketer</t>
  </si>
  <si>
    <t xml:space="preserve">/resources/marketing-per-marketer-…</t>
  </si>
  <si>
    <t xml:space="preserve">/how-it-works</t>
  </si>
  <si>
    <t xml:space="preserve">Merge 2 MPM posts; pitch as benchmark</t>
  </si>
  <si>
    <t xml:space="preserve">ABM Examples: 10 Campaigns and What They Produced</t>
  </si>
  <si>
    <t xml:space="preserve">/resources/abm-examples</t>
  </si>
  <si>
    <t xml:space="preserve">Case-study-led</t>
  </si>
  <si>
    <t xml:space="preserve">Case studies hub: results table + metric-led titles</t>
  </si>
  <si>
    <t xml:space="preserve">b2b marketing case studies</t>
  </si>
  <si>
    <t xml:space="preserve">/services/*</t>
  </si>
  <si>
    <t xml:space="preserve">476 words today</t>
  </si>
  <si>
    <t xml:space="preserve">Competitive analysis</t>
  </si>
  <si>
    <t xml:space="preserve">From live search results (13 Oct 2026). Pricing and client names come from third-party roundups and directory profiles, not the competitors' own sites: treat them as indicative.</t>
  </si>
  <si>
    <t xml:space="preserve">Competitor</t>
  </si>
  <si>
    <t xml:space="preserve">Base</t>
  </si>
  <si>
    <t xml:space="preserve">Positioning</t>
  </si>
  <si>
    <t xml:space="preserve">Overlap with OrbitalX</t>
  </si>
  <si>
    <t xml:space="preserve">SEO / content tactics seen</t>
  </si>
  <si>
    <t xml:space="preserve">Pricing signal</t>
  </si>
  <si>
    <t xml:space="preserve">Where they beat OrbitalX</t>
  </si>
  <si>
    <t xml:space="preserve">What OrbitalX should do</t>
  </si>
  <si>
    <t xml:space="preserve">strategicabm</t>
  </si>
  <si>
    <t xml:space="preserve">London</t>
  </si>
  <si>
    <t xml:space="preserve">ABM-only; strategy, consulting, training and enablement; paid workshops (e.g. ABM Readiness Workshop)</t>
  </si>
  <si>
    <t xml:space="preserve">High: direct ABM competitor in the UK</t>
  </si>
  <si>
    <t xml:space="preserve">G2 seller profile; listed in salesforge + syncgtm directories; case studies on request by ABM tier</t>
  </si>
  <si>
    <t xml:space="preserve">Retainers / consulting-style; six figures a year per program (third-party estimate)</t>
  </si>
  <si>
    <t xml:space="preserve">Brand synonymous with 'ABM'; G2 presence; enterprise logos (SAP, Cloudflare per G2)</t>
  </si>
  <si>
    <t xml:space="preserve">Match directory/G2 presence; lead with execution + AI (their gap: strategy over execution)</t>
  </si>
  <si>
    <t xml:space="preserve">Gripped</t>
  </si>
  <si>
    <t xml:space="preserve">Content-led B2B SaaS/tech agency: ABM, content, SEO, demand gen, inbound</t>
  </si>
  <si>
    <t xml:space="preserve">High: same ICP (UK SaaS)</t>
  </si>
  <si>
    <t xml:space="preserve">Ranks its own 'B2B ABM agency' guide; on Polaris UK demand gen list</t>
  </si>
  <si>
    <t xml:space="preserve">£3,500–15,000/month (third-party estimate)</t>
  </si>
  <si>
    <t xml:space="preserve">SEO-led content that ranks for agency terms; roundup inclusion</t>
  </si>
  <si>
    <t xml:space="preserve">Publish an equivalent 'how to choose an ABM agency' guide; get onto the same roundups</t>
  </si>
  <si>
    <t xml:space="preserve">Directive</t>
  </si>
  <si>
    <t xml:space="preserve">US + /uk/ site</t>
  </si>
  <si>
    <t xml:space="preserve">Performance-led: paid, SEO, CRO; ABM inside integrated programs</t>
  </si>
  <si>
    <t xml:space="preserve">Medium: demand gen overlap</t>
  </si>
  <si>
    <t xml:space="preserve">Runs a UK subfolder with a 'demand generation agencies' roundup; named case studies (Calendly, ZoomInfo, Sumo Logic, Uber Freight)</t>
  </si>
  <si>
    <t xml:space="preserve">$10,000–15,000+/month (third-party estimates)</t>
  </si>
  <si>
    <t xml:space="preserve">Scale of content, UK localisation, big-logo proof</t>
  </si>
  <si>
    <t xml:space="preserve">Out-niche them: 'lean teams' positioning, transparent pricing page, UK-only proof</t>
  </si>
  <si>
    <t xml:space="preserve">Powered by Search</t>
  </si>
  <si>
    <t xml:space="preserve">Canada/US</t>
  </si>
  <si>
    <t xml:space="preserve">Integrated demand gen for B2B SaaS, measured on pipeline</t>
  </si>
  <si>
    <t xml:space="preserve">Self-published 'best demand gen agencies' lists ranking itself first</t>
  </si>
  <si>
    <t xml:space="preserve">From $6,000/month (own site, per search summary)</t>
  </si>
  <si>
    <t xml:space="preserve">Owns listicle SERPs; publishes pricing</t>
  </si>
  <si>
    <t xml:space="preserve">Publish own pricing guide; ask for inclusion in neutral roundups</t>
  </si>
  <si>
    <t xml:space="preserve">Blend (blendb2b)</t>
  </si>
  <si>
    <t xml:space="preserve">UK/NL</t>
  </si>
  <si>
    <t xml:space="preserve">Complex B2B demand gen: brand, website, paid + organic</t>
  </si>
  <si>
    <t xml:space="preserve">Three 2026 'best demand gen agencies' roundups (UK, global, tech), ranking itself first</t>
  </si>
  <si>
    <t xml:space="preserve">Not found</t>
  </si>
  <si>
    <t xml:space="preserve">Owns 'best demand generation agencies UK' SERP</t>
  </si>
  <si>
    <t xml:space="preserve">Pitch for inclusion; build comparison content</t>
  </si>
  <si>
    <t xml:space="preserve">Polaris</t>
  </si>
  <si>
    <t xml:space="preserve">UK</t>
  </si>
  <si>
    <t xml:space="preserve">Organic-led demand gen: SEO, content, digital PR</t>
  </si>
  <si>
    <t xml:space="preserve">Self-ranking UK demand gen list</t>
  </si>
  <si>
    <t xml:space="preserve">Organic + PR link engine</t>
  </si>
  <si>
    <t xml:space="preserve">Use the data report + MPM for digital PR</t>
  </si>
  <si>
    <t xml:space="preserve">Team Lewis / O8</t>
  </si>
  <si>
    <t xml:space="preserve">Global / US</t>
  </si>
  <si>
    <t xml:space="preserve">Full-service agencies with dedicated ABM service pages</t>
  </si>
  <si>
    <t xml:space="preserve">Low–Medium</t>
  </si>
  <si>
    <t xml:space="preserve">Service pages rank for 'account based marketing services agency'</t>
  </si>
  <si>
    <t xml:space="preserve">Strong domain authority on service pages</t>
  </si>
  <si>
    <t xml:space="preserve">Strengthen /services/abm content depth, schema, links</t>
  </si>
  <si>
    <t xml:space="preserve">SERP landscape: who ranks for the terms that matter</t>
  </si>
  <si>
    <t xml:space="preserve">Who ranks (sample)</t>
  </si>
  <si>
    <t xml:space="preserve">SERP type</t>
  </si>
  <si>
    <t xml:space="preserve">OrbitalX today</t>
  </si>
  <si>
    <t xml:space="preserve">How to win</t>
  </si>
  <si>
    <t xml:space="preserve">account based marketing services agency</t>
  </si>
  <si>
    <t xml:space="preserve">o8.agency, teamlewis.com, 310creative.com (roundup), fahrenheitmarketing.com, fullenrich.com</t>
  </si>
  <si>
    <t xml:space="preserve">Agency service pages + roundups</t>
  </si>
  <si>
    <t xml:space="preserve">Not in results; /services/abm GSC avg pos 14.9</t>
  </si>
  <si>
    <t xml:space="preserve">Deeper service page (process, tiers, pricing, FAQs, Service schema) + roundup inclusion</t>
  </si>
  <si>
    <t xml:space="preserve">best abm agencies (UK)</t>
  </si>
  <si>
    <t xml:space="preserve">digitallitmus.com, onemetrik.com, gtm8020.com, revvgrowth.com, thegrowthsyndicate.com, bestabmagencies.com, piperocket.digital</t>
  </si>
  <si>
    <t xml:space="preserve">Roundups</t>
  </si>
  <si>
    <t xml:space="preserve">Not listed anywhere</t>
  </si>
  <si>
    <t xml:space="preserve">Outreach to each publisher with proof pack; Clutch/G2 reviews</t>
  </si>
  <si>
    <t xml:space="preserve">abmatic.ai (blog), gripped.io, salesforge.ai directory, g2.com (strategicabm), syncgtm.com</t>
  </si>
  <si>
    <t xml:space="preserve">Blogs + directories</t>
  </si>
  <si>
    <t xml:space="preserve">Not in results</t>
  </si>
  <si>
    <t xml:space="preserve">Create salesforge/syncgtm/G2 profiles; 'How to choose an ABM agency (UK)' guide</t>
  </si>
  <si>
    <t xml:space="preserve">best demand generation agencies uk 2026</t>
  </si>
  <si>
    <t xml:space="preserve">blendb2b.com, b2bmarketing.net, polarisagency.com, directiveconsulting.com/uk</t>
  </si>
  <si>
    <t xml:space="preserve">Roundups (mostly self-ranking)</t>
  </si>
  <si>
    <t xml:space="preserve">Not listed</t>
  </si>
  <si>
    <t xml:space="preserve">Pitch b2bmarketing.net (most independent) and others</t>
  </si>
  <si>
    <t xml:space="preserve">searchatlas.com, blog.adnabu.com, seerinteractive.com, ppc.land</t>
  </si>
  <si>
    <t xml:space="preserve">Tool vendors + PPC agencies</t>
  </si>
  <si>
    <t xml:space="preserve">GSC avg pos 7.8 (global); Semrush US #20</t>
  </si>
  <si>
    <t xml:space="preserve">Lead with a comparison table and a B2B-specific angle none of them cover</t>
  </si>
  <si>
    <t xml:space="preserve">best account based marketing tools 2026</t>
  </si>
  <si>
    <t xml:space="preserve">abmatic.ai, userled.io, nektar.ai, guideflow.com</t>
  </si>
  <si>
    <t xml:space="preserve">Vendor roundups (each ranks itself)</t>
  </si>
  <si>
    <t xml:space="preserve">GSC avg pos 30; Semrush US #41–85</t>
  </si>
  <si>
    <t xml:space="preserve">Vendor-neutral agency view: pricing, G2 ratings, 'best for' table, '2026' in title</t>
  </si>
  <si>
    <t xml:space="preserve">gtm engineering agency</t>
  </si>
  <si>
    <t xml:space="preserve">Job posts, agentcommunity.org (GTMpro), SalesPlaybook AG</t>
  </si>
  <si>
    <t xml:space="preserve">Jobs + fractional firms</t>
  </si>
  <si>
    <t xml:space="preserve">Not ranking</t>
  </si>
  <si>
    <t xml:space="preserve">Early-mover: 'What is GTM engineering' pillar + service page</t>
  </si>
  <si>
    <t xml:space="preserve">Roundups and directories to get listed in</t>
  </si>
  <si>
    <t xml:space="preserve">Found in live SERPs for ABM / demand gen agency terms. OrbitalX was not listed in any roundup.</t>
  </si>
  <si>
    <t xml:space="preserve">Site</t>
  </si>
  <si>
    <t xml:space="preserve">OrbitalX status</t>
  </si>
  <si>
    <t xml:space="preserve">clutch.co/profile/orbitalx</t>
  </si>
  <si>
    <t xml:space="preserve">Directory</t>
  </si>
  <si>
    <t xml:space="preserve">Profile exists</t>
  </si>
  <si>
    <t xml:space="preserve">Grow reviews; complete services, pricing band and portfolio</t>
  </si>
  <si>
    <t xml:space="preserve">g2.com (Marketing Services)</t>
  </si>
  <si>
    <t xml:space="preserve">Create seller profile; ask 5 clients for reviews</t>
  </si>
  <si>
    <t xml:space="preserve">salesforge.ai/directory/agencies</t>
  </si>
  <si>
    <t xml:space="preserve">Submit listing</t>
  </si>
  <si>
    <t xml:space="preserve">syncgtm.com/directory</t>
  </si>
  <si>
    <t xml:space="preserve">thegrowthsyndicate.com: top ABM agencies UK</t>
  </si>
  <si>
    <t xml:space="preserve">Roundup</t>
  </si>
  <si>
    <t xml:space="preserve">Pitch with UK case studies</t>
  </si>
  <si>
    <t xml:space="preserve">bestabmagencies.com</t>
  </si>
  <si>
    <t xml:space="preserve">Roundup + pricing page</t>
  </si>
  <si>
    <t xml:space="preserve">Submit for review</t>
  </si>
  <si>
    <t xml:space="preserve">b2bmarketing.net: top UK demand gen agencies</t>
  </si>
  <si>
    <t xml:space="preserve">Roundup / benchmark</t>
  </si>
  <si>
    <t xml:space="preserve">Enter next benchmarking survey</t>
  </si>
  <si>
    <t xml:space="preserve">blendb2b.com: best B2B demand gen agencies (UK)</t>
  </si>
  <si>
    <t xml:space="preserve">Pitch</t>
  </si>
  <si>
    <t xml:space="preserve">polarisagency.com: best demand gen agencies UK</t>
  </si>
  <si>
    <t xml:space="preserve">digitallitmus.com: best ABM agencies</t>
  </si>
  <si>
    <t xml:space="preserve">onemetrik.com: best ABM agencies for SaaS</t>
  </si>
  <si>
    <t xml:space="preserve">gtm8020.com: best ABM agencies for B2B SaaS</t>
  </si>
  <si>
    <t xml:space="preserve">revvgrowth.com: ABM digital marketing agencies</t>
  </si>
  <si>
    <t xml:space="preserve">piperocket.digital: best ABM agencies</t>
  </si>
  <si>
    <t xml:space="preserve">310creative.com: top ABM agencies</t>
  </si>
  <si>
    <t xml:space="preserve">Redirect map (301)</t>
  </si>
  <si>
    <t xml:space="preserve">404 URLs still showing in GSC, plus duplicate content to consolidate. Implement as 301s, then remove the 'from' URLs from the sitemap.</t>
  </si>
  <si>
    <t xml:space="preserve">From</t>
  </si>
  <si>
    <t xml:space="preserve">To</t>
  </si>
  <si>
    <t xml:space="preserve">Reason</t>
  </si>
  <si>
    <t xml:space="preserve">/services (or restore page)</t>
  </si>
  <si>
    <t xml:space="preserve">404, GSC: 4 clicks / 67 impr</t>
  </si>
  <si>
    <t xml:space="preserve">/resources-v2</t>
  </si>
  <si>
    <t xml:space="preserve">/resources</t>
  </si>
  <si>
    <t xml:space="preserve">404, in GSC</t>
  </si>
  <si>
    <t xml:space="preserve">/resources/demand-net-vs-performance-max</t>
  </si>
  <si>
    <t xml:space="preserve">404 typo URL in GSC</t>
  </si>
  <si>
    <t xml:space="preserve">/resources/account-abased-marketing-tools</t>
  </si>
  <si>
    <t xml:space="preserve">/blog-categories/brand-storytelling</t>
  </si>
  <si>
    <t xml:space="preserve">/blog-categories/content-and-brand</t>
  </si>
  <si>
    <t xml:space="preserve">/resources/to-gate-or-un-gate-strategies-on-how-to-make-your-b2b-brand-binge-able-webinar</t>
  </si>
  <si>
    <t xml:space="preserve">/resources/to-gate-or-un-gate-strategies-on-how-to-make-your-b2b-brand-binge-able</t>
  </si>
  <si>
    <t xml:space="preserve">100% duplicate</t>
  </si>
  <si>
    <t xml:space="preserve">/resources/early-stage-critical-moments-full-episodes</t>
  </si>
  <si>
    <t xml:space="preserve">/resources/early-stage-critical-moments-podcast</t>
  </si>
  <si>
    <t xml:space="preserve">87% duplicate</t>
  </si>
  <si>
    <t xml:space="preserve">/resources/how-to-prevent-a-pipeline-performance-slump-in-2025-without-increasing-spend</t>
  </si>
  <si>
    <t xml:space="preserve">/resources/how-to-prevent-a-pipeline-performance-slump-without-increasing-spend</t>
  </si>
  <si>
    <t xml:space="preserve">77% duplicate; both in GSC</t>
  </si>
  <si>
    <t xml:space="preserve">/resources/the-four-step-flywheel-effect-that-is-defining-gtm-success-in-2025</t>
  </si>
  <si>
    <t xml:space="preserve">/resources/the-4-step-flywheel-effect-a-proven-evergreen-framework-for-gtm-success</t>
  </si>
  <si>
    <t xml:space="preserve">Same topic (merge first)</t>
  </si>
  <si>
    <t xml:space="preserve">/resources/the-future-b2b-marketing-metric-marketing-per-marketer-mpm</t>
  </si>
  <si>
    <t xml:space="preserve">/resources/marketing-per-marketer-how-b2b-will-measure-success-for-the-next-decade</t>
  </si>
  <si>
    <t xml:space="preserve">Same topic; both in GSC</t>
  </si>
  <si>
    <t xml:space="preserve">/resources/portfolio-pipeline-blueprint-pe-backed-growth</t>
  </si>
  <si>
    <t xml:space="preserve">/resources/the-portfolio-pipeline-marketing-blueprint</t>
  </si>
  <si>
    <t xml:space="preserve">Same asset</t>
  </si>
  <si>
    <t xml:space="preserve">/resources/marketing-under-attack-how-not-to-get-fired-as-a-cmo</t>
  </si>
  <si>
    <t xml:space="preserve">/resources/how-not-to-get-fired-as-a-cmo</t>
  </si>
  <si>
    <t xml:space="preserve">Same topic (or cross-link if video version)</t>
  </si>
  <si>
    <t xml:space="preserve">https://www.orbitalx.com/* (internal links)</t>
  </si>
  <si>
    <t xml:space="preserve">https://orbitalx.com/* (relative)</t>
  </si>
  <si>
    <t xml:space="preserve">Redirect hops; www in GSC</t>
  </si>
  <si>
    <t xml:space="preserve">Subdomain microsites (domorewithless., marketingunderattack-uk/au., fixcoldoutbound.)</t>
  </si>
  <si>
    <t xml:space="preserve">Matching /resources pages (if retired)</t>
  </si>
  <si>
    <t xml:space="preserve">Indexed in GSC; SSL handshake failed (verify)</t>
  </si>
  <si>
    <t xml:space="preserve">Meta description drafts</t>
  </si>
  <si>
    <t xml:space="preserve">Under 155 characters. Check each against the article's actual angle before publishing. Length is a formula.</t>
  </si>
  <si>
    <t xml:space="preserve">Proposed meta description</t>
  </si>
  <si>
    <t xml:space="preserve">Length</t>
  </si>
  <si>
    <t xml:space="preserve">/ (homepage)</t>
  </si>
  <si>
    <t xml:space="preserve">Account-based marketing and demand gen for lean B2B teams. 11.7x average ROI and £300M+ pipeline generated, with a full team and AI system for the cost of one hire.</t>
  </si>
  <si>
    <t xml:space="preserve">Compare 17 account-based marketing tools for intent data, ads, orchestration and analytics, and learn how to build an ABM stack that fits your team.</t>
  </si>
  <si>
    <t xml:space="preserve">/resources/b2b-go-to-market-strategy</t>
  </si>
  <si>
    <t xml:space="preserve">Build a B2B go-to-market strategy that turns into pipeline: ICP, positioning, channel mix and the decisions lean teams get wrong.</t>
  </si>
  <si>
    <t xml:space="preserve">/resources/lead-generation-cost-per-lead</t>
  </si>
  <si>
    <t xml:space="preserve">B2B cost per lead benchmarks by channel, the CPL formula, and why a "good" CPL depends on pipeline quality, not just price.</t>
  </si>
  <si>
    <t xml:space="preserve">The performance marketing tools B2B teams need for attribution, ads, analytics and CRM, and how to build a stack that shows real revenue impact.</t>
  </si>
  <si>
    <t xml:space="preserve">/resources/demand-gen-agency</t>
  </si>
  <si>
    <t xml:space="preserve">How to choose a B2B demand generation agency: what to ask, red flags, pricing models and how to measure pipeline impact.</t>
  </si>
  <si>
    <t xml:space="preserve">/resources/b2b-demand-generation-marketing</t>
  </si>
  <si>
    <t xml:space="preserve">A complete guide to B2B demand generation: strategy, channels, content and metrics for building predictable pipeline.</t>
  </si>
  <si>
    <t xml:space="preserve">/resources/lead-generation-strategies</t>
  </si>
  <si>
    <t xml:space="preserve">B2B lead generation strategies ranked by pipeline impact, from ABM and webinars to outbound and SEO, with what works for lean teams.</t>
  </si>
  <si>
    <t xml:space="preserve">/resources/b2b-marketing-plan</t>
  </si>
  <si>
    <t xml:space="preserve">Build a B2B marketing plan that scales pipeline: a step-by-step template for lean teams covering goals, budget, channels and measurement.</t>
  </si>
  <si>
    <t xml:space="preserve">/resources/how-to-measure-account-based-marketing</t>
  </si>
  <si>
    <t xml:space="preserve">The ABM metrics that matter: account engagement, pipeline velocity, win rate and ROI. Here's how to measure and report ABM success.</t>
  </si>
  <si>
    <t xml:space="preserve">/resources/gtm-systems</t>
  </si>
  <si>
    <t xml:space="preserve">What a GTM system is and how to build one: the data, routing, CRM and feedback loops that connect marketing and sales to revenue.</t>
  </si>
  <si>
    <t xml:space="preserve">Page inventory: crawl + Semrush + GSC</t>
  </si>
  <si>
    <t xml:space="preserve">One row per sitemap URL (152). GSC columns are blank where the page had no impressions in the last 3 months.</t>
  </si>
  <si>
    <t xml:space="preserve">Title</t>
  </si>
  <si>
    <t xml:space="preserve">Title len</t>
  </si>
  <si>
    <t xml:space="preserve">Meta description</t>
  </si>
  <si>
    <t xml:space="preserve">Words</t>
  </si>
  <si>
    <t xml:space="preserve">Pages linking here</t>
  </si>
  <si>
    <t xml:space="preserve">Semrush kws</t>
  </si>
  <si>
    <t xml:space="preserve">Semrush best pos</t>
  </si>
  <si>
    <t xml:space="preserve">GSC clicks</t>
  </si>
  <si>
    <t xml:space="preserve">GSC impr</t>
  </si>
  <si>
    <t xml:space="preserve">GSC avg pos</t>
  </si>
  <si>
    <t xml:space="preserve">Issues</t>
  </si>
  <si>
    <t xml:space="preserve">https://orbitalx.com</t>
  </si>
  <si>
    <t xml:space="preserve">Core</t>
  </si>
  <si>
    <t xml:space="preserve">B2B Pipeline Marketing for Lean Teams | OrbitalX</t>
  </si>
  <si>
    <t xml:space="preserve">OrbitalX builds profitable pipeline for lean B2B marketing teams. Turn data into earned marketing programmes that drive revenue — no new hires, no new tools.</t>
  </si>
  <si>
    <t xml:space="preserve">Be a Guest on Do More With Less | OrbitalX</t>
  </si>
  <si>
    <t xml:space="preserve">Apply to share your lean-team story on Do More With Less — the B2B podcast for marketers driving outsized pipeline without proportional headcount.</t>
  </si>
  <si>
    <t xml:space="preserve">Taxonomy</t>
  </si>
  <si>
    <t xml:space="preserve">Account Based Marketing | OrbitalX</t>
  </si>
  <si>
    <t xml:space="preserve">OrbitalX builds profitable pipeline for lean B2B marketing teams. An entire team, AI system, and performance for the price of one marketing hire.</t>
  </si>
  <si>
    <t xml:space="preserve">Generic meta</t>
  </si>
  <si>
    <t xml:space="preserve">actionable-strategies | OrbitalX</t>
  </si>
  <si>
    <t xml:space="preserve">Generic meta; ≤1 inlink</t>
  </si>
  <si>
    <t xml:space="preserve">B2B Marketing | OrbitalX</t>
  </si>
  <si>
    <t xml:space="preserve">Case Studies | OrbitalX</t>
  </si>
  <si>
    <t xml:space="preserve">https://orbitalx.com/blog-categories/content-and-brand</t>
  </si>
  <si>
    <t xml:space="preserve">Content and Brand | OrbitalX</t>
  </si>
  <si>
    <t xml:space="preserve">Demand Generation | OrbitalX</t>
  </si>
  <si>
    <t xml:space="preserve">education | OrbitalX</t>
  </si>
  <si>
    <t xml:space="preserve">GTM Engineering | OrbitalX</t>
  </si>
  <si>
    <t xml:space="preserve">Pipeline Plays | OrbitalX</t>
  </si>
  <si>
    <t xml:space="preserve">Case Studies — B2B Pipeline Results | OrbitalX</t>
  </si>
  <si>
    <t xml:space="preserve">See how lean B2B marketing teams use OrbitalX to build profitable pipeline. Real results from real companies across SaaS, tech, and professional services.</t>
  </si>
  <si>
    <t xml:space="preserve">Free Competitor Intelligence Report | OrbitalX</t>
  </si>
  <si>
    <t xml:space="preserve">Discover how your competitors are positioning, which channels they invest in, and where the gaps are. Get a personalised competitor intelligence report within 48 hours.</t>
  </si>
  <si>
    <t xml:space="preserve">Contact Us — Book a Call | OrbitalX</t>
  </si>
  <si>
    <t xml:space="preserve">Get in touch with OrbitalX. Discuss your growth goals, explore partnership opportunities, or book a call to learn how we build pipeline for lean B2B marketing teams.</t>
  </si>
  <si>
    <t xml:space="preserve">https://orbitalx.com/faqs</t>
  </si>
  <si>
    <t xml:space="preserve">FAQs — Frequently Asked Questions | OrbitalX</t>
  </si>
  <si>
    <t xml:space="preserve">Find answers to common questions about OrbitalX services, pricing, onboarding, and how we build profitable pipeline for lean B2B marketing teams.</t>
  </si>
  <si>
    <t xml:space="preserve">≤1 inlink</t>
  </si>
  <si>
    <t xml:space="preserve">How It Works — From ICP Data to Pipeline | OrbitalX</t>
  </si>
  <si>
    <t xml:space="preserve">Our three-step system identifies your ICP buyers, delivers content that shapes their decision criteria, and converts them into pipeline — with performance that compounds monthly.</t>
  </si>
  <si>
    <t xml:space="preserve">Privacy Policy | OrbitalX</t>
  </si>
  <si>
    <t xml:space="preserve">Read the OrbitalX privacy policy. Learn how we collect, use, and protect your personal data when you use our website and services.</t>
  </si>
  <si>
    <t xml:space="preserve">Terms of Service | OrbitalX</t>
  </si>
  <si>
    <t xml:space="preserve">Review the OrbitalX terms of service. Understand the terms and conditions that govern your use of our website, platform, and marketing services.</t>
  </si>
  <si>
    <t xml:space="preserve">Demandwebs Platform — The B2B Pipeline Engine | OrbitalX</t>
  </si>
  <si>
    <t xml:space="preserve">One engine to find, engage, and convert Tier-1 buyers on repeat. Turn data into intelligence, audience, and content with coordinated owned, paid, and earned execution.</t>
  </si>
  <si>
    <t xml:space="preserve">Blog | OrbitalX</t>
  </si>
  <si>
    <t xml:space="preserve">Download | OrbitalX</t>
  </si>
  <si>
    <t xml:space="preserve">Video | OrbitalX</t>
  </si>
  <si>
    <t xml:space="preserve">Webinars / Livestream | OrbitalX</t>
  </si>
  <si>
    <t xml:space="preserve">LearnX — B2B Marketing Resources &amp; Insights | OrbitalX</t>
  </si>
  <si>
    <t xml:space="preserve">Actionable B2B marketing resources, guides, and insights. Learn demand generation strategies, pipeline optimisation techniques, and growth marketing plays.</t>
  </si>
  <si>
    <t xml:space="preserve">Article</t>
  </si>
  <si>
    <t xml:space="preserve">3 Actionable Tips on How to Target Your Full Target Market | OrbitalX</t>
  </si>
  <si>
    <t xml:space="preserve">Learn three actionable strategies to reach your full target market. Improve segmentation, messaging, and demand generation performance.</t>
  </si>
  <si>
    <t xml:space="preserve">A PE-Backed Company Cut Marketing From 12 People to 3. Then Had Its Best Six Months Ever. | OrbitalX</t>
  </si>
  <si>
    <t xml:space="preserve">How to build B2B content that drives pipeline in a market drowning in AI-generated noise | OrbitalX</t>
  </si>
  <si>
    <t xml:space="preserve">Generic meta; Thin</t>
  </si>
  <si>
    <t xml:space="preserve">ABM for lean teams: How AI agents are rewriting the ABM account playbook | OrbitalX</t>
  </si>
  <si>
    <t xml:space="preserve">ABM vs. Lead Generation: Which Strategy Is Right for Your Business? | OrbitalX</t>
  </si>
  <si>
    <t xml:space="preserve">Account-Based Marketing Analytics the RIGHT Way: Proving Your Strategy’s Value | OrbitalX</t>
  </si>
  <si>
    <t xml:space="preserve">A Practical Guide to Account-Based Marketing Personalization at Scale | OrbitalX</t>
  </si>
  <si>
    <t xml:space="preserve">Account-Based Marketing Services: Why B2B Teams Need a Signal-Based System | OrbitalX</t>
  </si>
  <si>
    <t xml:space="preserve">Account-Based Marketing Software Explained | OrbitalX</t>
  </si>
  <si>
    <t xml:space="preserve">Beyond the Basics: Account-Based Marketing Tactics That Actually Bring Results | OrbitalX</t>
  </si>
  <si>
    <t xml:space="preserve">17 Top Account-Based Marketing Tools for a Scalable ABM Strategy | OrbitalX</t>
  </si>
  <si>
    <t xml:space="preserve">How to Master Account-Based Webinars for High-Value Growth | OrbitalX</t>
  </si>
  <si>
    <t xml:space="preserve">AI Lead Generation: What Actually Works in High-Value B2B | OrbitalX</t>
  </si>
  <si>
    <t xml:space="preserve">B2B Account-Based Marketing: The Full Guide to Doing It Right | OrbitalX</t>
  </si>
  <si>
    <t xml:space="preserve">B2B Content Marketing Funnel: Stages, Strategies, and How to Build One That Converts | OrbitalX</t>
  </si>
  <si>
    <t xml:space="preserve">The Old B2B Demand Gen Playbook Is Breaking: What Lean B2B Teams Are Doing Instead | OrbitalX</t>
  </si>
  <si>
    <t xml:space="preserve">B2B Demand Generation Marketing: A Complete Guide to Building Predictable Pipeline | OrbitalX</t>
  </si>
  <si>
    <t xml:space="preserve">B2B Go-To-Market Strategy: The Decisions That Turn Market Plans Into Pipeline | OrbitalX</t>
  </si>
  <si>
    <t xml:space="preserve">B2B Market Segmentation: Building a Commercial Prioritization System | OrbitalX</t>
  </si>
  <si>
    <t xml:space="preserve">B2B Marketing In A Nutshell: Strategy, Buyer Behavior, and Modern Revenue Tactics | OrbitalX</t>
  </si>
  <si>
    <t xml:space="preserve">Driving B2B Revenue Growth Through Marketing and Sales Alignment in Long Sales Cycles | OrbitalX</t>
  </si>
  <si>
    <t xml:space="preserve">B2B Marketing Automation Strategy: How AI and Systems Drive Real Results | OrbitalX</t>
  </si>
  <si>
    <t xml:space="preserve">B2B Marketing Automation Examples That Turn Buyer Signals Into Pipeline | OrbitalX</t>
  </si>
  <si>
    <t xml:space="preserve">Why Most B2B Marketing Budgets Waste Pipeline Before Campaigns Even Launch | OrbitalX</t>
  </si>
  <si>
    <t xml:space="preserve">B2B Marketing Consultant: When Pipeline Is the Problem | OrbitalX</t>
  </si>
  <si>
    <t xml:space="preserve">B2B Marketing Funnel Guide: How Modern Funnels Actually Convert Buyers | OrbitalX</t>
  </si>
  <si>
    <t xml:space="preserve">The Best B2B Marketing Ideas for Generating High Quality Pipeline | OrbitalX</t>
  </si>
  <si>
    <t xml:space="preserve">B2B Marketing Metrics That Actually Help You Make Better Decisions | OrbitalX</t>
  </si>
  <si>
    <t xml:space="preserve">How Lean B2B Teams Build Marketing Plans That Scale Pipeline | OrbitalX</t>
  </si>
  <si>
    <t xml:space="preserve">Top 2026 B2B Marketing Strategies To Try: AI Personalization, Video Funnels, and More | OrbitalX</t>
  </si>
  <si>
    <t xml:space="preserve">Clicks Don’t Matter Anymore: The 2026 B2B Marketing Trends Playbook | OrbitalX</t>
  </si>
  <si>
    <t xml:space="preserve">How to Create a B2B Marketing Webinar Strategy That Generates Pipeline | OrbitalX</t>
  </si>
  <si>
    <t xml:space="preserve">B2B Partner Marketing: How to Foster Partnerships That Bear Fruit | OrbitalX</t>
  </si>
  <si>
    <t xml:space="preserve">B2B Referral Marketing: How to Build a Program That Drives Qualified Growth | OrbitalX</t>
  </si>
  <si>
    <t xml:space="preserve">Behind the Numbers: How Yieldify Made Every Rep Count | OrbitalX</t>
  </si>
  <si>
    <t xml:space="preserve">See how Yieldify maximised sales efficiency and performance. Discover the demand generation approach that helped every rep generate more impact.</t>
  </si>
  <si>
    <t xml:space="preserve">Big Uncommon Thinking: How top C-Suite leaders use 'Uncommon Thinking' to spark money-making B2B growth machines | OrbitalX</t>
  </si>
  <si>
    <t xml:space="preserve">Building Trust in B2B: The Cornerstone of Long-Term Success | OrbitalX</t>
  </si>
  <si>
    <t xml:space="preserve">Trust is the foundation of long-term B2B success. Learn how brands build credibility, authority, and lasting customer relationships.</t>
  </si>
  <si>
    <t xml:space="preserve">Building World-Class Watchable Content | OrbitalX</t>
  </si>
  <si>
    <t xml:space="preserve">Learn how to create world-class watchable content that captures attention. Discover formats that drive engagement and brand authority in B2B.</t>
  </si>
  <si>
    <t xml:space="preserve">Critical Moments Season 2 — B2B Video Series | OrbitalX</t>
  </si>
  <si>
    <t xml:space="preserve">Watch Critical Moments Season 2: candid conversations with B2B leaders on the decisions that shaped pipeline, positioning, and GTM execution.</t>
  </si>
  <si>
    <t xml:space="preserve">Thin; ≤1 inlink</t>
  </si>
  <si>
    <t xml:space="preserve">Choosing a Demand Gen Agency for Consistent B2B Growth | OrbitalX</t>
  </si>
  <si>
    <t xml:space="preserve">The Demand Gen Funnel: How to Measure Whether Demand Becomes Pipeline | OrbitalX</t>
  </si>
  <si>
    <t xml:space="preserve">Demand Gen Software: How to Choose the Right Stack for Better Pipeline Generation | OrbitalX</t>
  </si>
  <si>
    <t xml:space="preserve">Building An Agile Demand Generation Strategy: The Social Chameleon of The Buyers Journey | OrbitalX</t>
  </si>
  <si>
    <t xml:space="preserve">Demand Gen vs. Performance Max: The Google Ads Difference and the Bigger B2B Issue | OrbitalX</t>
  </si>
  <si>
    <t xml:space="preserve">Demand Generation Programs: How to Build a B2B Program That Creates Pipeline | OrbitalX</t>
  </si>
  <si>
    <t xml:space="preserve">DemandWEBS™: Your Simple Path to B2B Growth | OrbitalX</t>
  </si>
  <si>
    <t xml:space="preserve">DemandWebs is a framework for scalable B2B growth. Learn how structured demand generation drives predictable pipeline and revenue.</t>
  </si>
  <si>
    <t xml:space="preserve">https://orbitalx.com/resources/do-more-with-less</t>
  </si>
  <si>
    <t xml:space="preserve">Do More With Less — B2B Podcast &amp; Video Playlist | OrbitalX</t>
  </si>
  <si>
    <t xml:space="preserve">Do More With Less brings together B2B leaders on lean teams who still expect outsized pipeline results. Watch or listen for practical ideas on efficiency, focus, and measurement.</t>
  </si>
  <si>
    <t xml:space="preserve">Do More With Less: 12 lessons from 12 months | OrbitalX</t>
  </si>
  <si>
    <t xml:space="preserve">https://orbitalx.com/resources/early-stage-critical-moments-full-episodes</t>
  </si>
  <si>
    <t xml:space="preserve">Early Stage Critical Moments Full Episodes | OrbitalX</t>
  </si>
  <si>
    <t xml:space="preserve">Generic meta; Thin; ≤1 inlink</t>
  </si>
  <si>
    <t xml:space="preserve">Early Stage Critical Moments Podcast | OrbitalX</t>
  </si>
  <si>
    <t xml:space="preserve">Enterprise ABM Best Practices for Continuous Optimization | OrbitalX</t>
  </si>
  <si>
    <t xml:space="preserve">Forget 7 Touchpoints. B2B Buyers Now Take 80+ Interactions to Convert. | OrbitalX</t>
  </si>
  <si>
    <t xml:space="preserve">Founder diaries: OrbitalX in the Philippines! | OrbitalX</t>
  </si>
  <si>
    <t xml:space="preserve">From Blocked to Booked: Levanta's Journey with OrbitalX to 8x More Meetings | OrbitalX</t>
  </si>
  <si>
    <t xml:space="preserve">See how Levanta increased booked meetings by 8x with OrbitalX. Explore the strategy, signals, and outbound systems that unlocked scalable pipeline growth.</t>
  </si>
  <si>
    <t xml:space="preserve">From Data Overload to Deal Velocity: How StackOne scaled outbound with OrbitalX | OrbitalX</t>
  </si>
  <si>
    <t xml:space="preserve">Discover how StackOne transformed data overload into faster deal velocity. Learn how OrbitalX helped scale outbound and unlock consistent pipeline growth.</t>
  </si>
  <si>
    <t xml:space="preserve">From Data to Demand: The strategy behind DemandWEBS™ | OrbitalX</t>
  </si>
  <si>
    <t xml:space="preserve">Discover the strategy behind DemandWebs and how data drives demand generation. Learn how structured GTM systems create consistent pipeline growth.</t>
  </si>
  <si>
    <t xml:space="preserve">Go-to-Market Memo by Stuart | OrbitalX</t>
  </si>
  <si>
    <t xml:space="preserve">GTM Systems: The Operating Model Behind Revenue Motion | OrbitalX</t>
  </si>
  <si>
    <t xml:space="preserve">How a legal pioneer flipped a switch to start generating high-value conversations and leads | OrbitalX</t>
  </si>
  <si>
    <t xml:space="preserve">How Bold Commerce Maximised Growth in Their Most Critical Channels | OrbitalX</t>
  </si>
  <si>
    <t xml:space="preserve">Learn how Bold Commerce accelerated growth across its most important acquisition channels. Discover the demand generation strategies that improved performance and pipeline.</t>
  </si>
  <si>
    <t xml:space="preserve">How broken internal trust is killing your BDR performance | OrbitalX</t>
  </si>
  <si>
    <t xml:space="preserve">Internal trust issues can destroy BDR performance. Discover how alignment between teams improves outreach results and pipeline growth.</t>
  </si>
  <si>
    <t xml:space="preserve">How elastic is your brand story? | OrbitalX</t>
  </si>
  <si>
    <t xml:space="preserve">How flexible is your brand story in different markets? Learn how adaptive messaging helps B2B brands stay relevant and influential.</t>
  </si>
  <si>
    <t xml:space="preserve">How EngageTech drove net-new pipeline and closed-won revenue with OrbitalX | OrbitalX</t>
  </si>
  <si>
    <t xml:space="preserve">Learn how EngageTech built pipeline and closed deals without internal marketers. A case study on category leadership through strategic demand generation.</t>
  </si>
  <si>
    <t xml:space="preserve">Thin</t>
  </si>
  <si>
    <t xml:space="preserve">Big Uncommon Thinking: How Lean Marketing Teams Can Still Dominate Their Market | OrbitalX</t>
  </si>
  <si>
    <t xml:space="preserve">How NOT to Get Fired as a CMO | OrbitalX</t>
  </si>
  <si>
    <t xml:space="preserve">Practical advice for CMOs navigating modern growth challenges. Learn how to align marketing with revenue and prove measurable impact.</t>
  </si>
  <si>
    <t xml:space="preserve">How occy unlocked faster growth without more headcount | OrbitalX</t>
  </si>
  <si>
    <t xml:space="preserve">Explore how Occy accelerated growth without expanding its team. This case study shows how smarter GTM execution drives scalable revenue results.</t>
  </si>
  <si>
    <t xml:space="preserve">How Cylindo rapidly generated predictable pipeline with OrbitalX | OrbitalX</t>
  </si>
  <si>
    <t xml:space="preserve">Discover how Cylindo grew its pipeline without a traditional marketing team. Learn the GTM strategies that helped a PE-backed company generate consistent demand.</t>
  </si>
  <si>
    <t xml:space="preserve">How to Improve Webinar Marketing: 6 Reasons, 6 Solutions | OrbitalX</t>
  </si>
  <si>
    <t xml:space="preserve">Struggling with webinar performance? Discover six reasons webinars fail and practical solutions to improve attendance and engagement.</t>
  </si>
  <si>
    <t xml:space="preserve">How to Measure Account Based Marketing: The Metrics That Drive Growth | OrbitalX</t>
  </si>
  <si>
    <t xml:space="preserve">How to Measure Marketing Qualified Leads Effectively | OrbitalX</t>
  </si>
  <si>
    <t xml:space="preserve">Learn how to measure marketing qualified leads accurately. Discover frameworks and metrics that align marketing with revenue results.</t>
  </si>
  <si>
    <t xml:space="preserve">How to Prevent a Pipeline Performance Slump in 2025 Without Increasing Spend | OrbitalX</t>
  </si>
  <si>
    <t xml:space="preserve">How to prevent a pipeline performance slump without increasing spend | OrbitalX</t>
  </si>
  <si>
    <t xml:space="preserve">https://orbitalx.com/resources/how-to-unlock-your-full-target-market-with-effective-demand-generation</t>
  </si>
  <si>
    <t xml:space="preserve">How to Unlock Your Full Target Market with Effective Demand Generation | OrbitalX</t>
  </si>
  <si>
    <t xml:space="preserve">Inbound Lead Generation: How It Evolved as B2B Buyers Changed | OrbitalX</t>
  </si>
  <si>
    <t xml:space="preserve">Inbound-Led Outbound | OrbitalX</t>
  </si>
  <si>
    <t xml:space="preserve">Discover how inbound signals can power smarter outbound strategies. Learn how combining both approaches improves engagement and pipeline generation.</t>
  </si>
  <si>
    <t xml:space="preserve">James' Demand Generation Playbook | OrbitalX</t>
  </si>
  <si>
    <t xml:space="preserve">Lead Generation Chatbots: How AI Turns Website Traffic Into Qualified Sales Pipeline | OrbitalX</t>
  </si>
  <si>
    <t xml:space="preserve">Lead Generation Cost Per Lead: Benchmarks, Formula, and What a Good CPL Really Means | OrbitalX</t>
  </si>
  <si>
    <t xml:space="preserve">Lead Generation for Technology Companies: How to Build a Pipeline System | OrbitalX</t>
  </si>
  <si>
    <t xml:space="preserve">Most Lead Generation Metrics Don't Matter, But These Ones Do | OrbitalX</t>
  </si>
  <si>
    <t xml:space="preserve">How to Evaluate Lead Generation Outsourcing Based on Pipeline Impact | OrbitalX</t>
  </si>
  <si>
    <t xml:space="preserve">Lead Generation Software: Choose the Right Tools for Your Growth Strategy | OrbitalX</t>
  </si>
  <si>
    <t xml:space="preserve">Lead Generation Strategies Ranked by Pipeline Usefulness | OrbitalX</t>
  </si>
  <si>
    <t xml:space="preserve">Lead Generation vs. Demand Generation: Understanding the Differences and Benefits | OrbitalX</t>
  </si>
  <si>
    <t xml:space="preserve">Learn the difference between lead generation and demand generation. Understand how each approach supports sustainable B2B growth and pipeline creation.</t>
  </si>
  <si>
    <t xml:space="preserve">Leveraging the Myers-Briggs Framework to Tailor Customer Content | OrbitalX</t>
  </si>
  <si>
    <t xml:space="preserve">Learn how the Myers-Briggs framework can improve content personalisation. Create messaging that resonates with different customer personality types.</t>
  </si>
  <si>
    <t xml:space="preserve">‘Marketing Per Marketer’: How B2B Will Measure Success for the Next Decade | OrbitalX</t>
  </si>
  <si>
    <t xml:space="preserve">Discover how B2B teams will measure marketing success in the next decade. Explore the concept of marketing per marketer and efficiency metrics.</t>
  </si>
  <si>
    <t xml:space="preserve">https://orbitalx.com/resources/marketing-under-attack-are-mqls-dead</t>
  </si>
  <si>
    <t xml:space="preserve">Marketing Under Attack: Are MQLs Dead? | OrbitalX</t>
  </si>
  <si>
    <t xml:space="preserve">Marketing Under Attack: How NOT to get fired as a CMO | OrbitalX</t>
  </si>
  <si>
    <t xml:space="preserve">Marketing Under Attack: The secret to being seen everywhere by your audience | OrbitalX</t>
  </si>
  <si>
    <t xml:space="preserve">Mastering Storytelling: How B2B Brands Can Stimulate Their Market | OrbitalX</t>
  </si>
  <si>
    <t xml:space="preserve">Learn how powerful storytelling helps B2B brands influence markets. Discover frameworks that turn narratives into demand and brand authority.</t>
  </si>
  <si>
    <t xml:space="preserve">MQLs Reframed: Why Signals Drive Smarter Sales Conversations | OrbitalX</t>
  </si>
  <si>
    <t xml:space="preserve">Rethink traditional MQLs and focus on real buying signals. Learn how signal-driven sales conversations create better engagement and higher conversion rates.</t>
  </si>
  <si>
    <t xml:space="preserve">OrbitalX Culture | OrbitalX</t>
  </si>
  <si>
    <t xml:space="preserve">OrbitalX Webinars &amp; Livestreams — Full Library | OrbitalX</t>
  </si>
  <si>
    <t xml:space="preserve">Browse the full OrbitalX webinar and livestream library: demand generation, positioning, pipeline health, and GTM leadership topics for B2B teams.</t>
  </si>
  <si>
    <t xml:space="preserve">How Organic Lead Generation Creates Sustainable Pipeline Growth | OrbitalX</t>
  </si>
  <si>
    <t xml:space="preserve">Performance Marketing Optimization: What Top Marketing Teams Do Differently | OrbitalX</t>
  </si>
  <si>
    <t xml:space="preserve">Performance Marketing Tools: How to Build a Stack That Improves Revenue Visibility | OrbitalX</t>
  </si>
  <si>
    <t xml:space="preserve">The Portfolio Pipeline Blueprint for PE-Backed Growth | OrbitalX</t>
  </si>
  <si>
    <t xml:space="preserve">Ten good things about B2B marketing right now. | OrbitalX</t>
  </si>
  <si>
    <t xml:space="preserve">The 4-Step Flywheel Effect A proven evergreen framework for GTM success | OrbitalX</t>
  </si>
  <si>
    <t xml:space="preserve">Discover the 4-step flywheel framework for sustainable GTM success. Learn how momentum-driven marketing creates continuous demand and growth.</t>
  </si>
  <si>
    <t xml:space="preserve">The ABM Content Intelligence Blueprint | OrbitalX</t>
  </si>
  <si>
    <t xml:space="preserve">The AI-Powered ABM Blueprint | OrbitalX</t>
  </si>
  <si>
    <t xml:space="preserve">The Four Step Flywheel Effect That is Defining GTM Success in 2025 | OrbitalX</t>
  </si>
  <si>
    <t xml:space="preserve">The Future B2B Marketing Metric: Marketing Per Marketer (MPM) | OrbitalX</t>
  </si>
  <si>
    <t xml:space="preserve">The Larger Market Formula: Your Next B2B Software Success Strategy | OrbitalX</t>
  </si>
  <si>
    <t xml:space="preserve">Learn the Larger Market Formula for scaling B2B software growth. Discover strategies to expand market reach and accelerate revenue.</t>
  </si>
  <si>
    <t xml:space="preserve">The Portfolio Pipeline Marketing Blueprint | OrbitalX</t>
  </si>
  <si>
    <t xml:space="preserve">The Top 5 AI B2B Marketing Strategies for 2026 | OrbitalX</t>
  </si>
  <si>
    <t xml:space="preserve">To gate or un-gate: Strategies on how to make your B2B brand binge-able | OrbitalX</t>
  </si>
  <si>
    <t xml:space="preserve">Should B2B content be gated or free? Explore strategies to create binge-worthy content that attracts, educates, and converts your target audience.</t>
  </si>
  <si>
    <t xml:space="preserve">https://orbitalx.com/resources/to-gate-or-un-gate-strategies-on-how-to-make-your-b2b-brand-binge-able-webinar</t>
  </si>
  <si>
    <t xml:space="preserve">Trust Is the New Outbound Strategy: How to Create Pipeline That Converts | OrbitalX</t>
  </si>
  <si>
    <t xml:space="preserve">Trust is becoming the most effective outbound strategy. Learn how credibility and authority help drive better engagement and pipeline results.</t>
  </si>
  <si>
    <t xml:space="preserve">Unlock enterprise value with AI and ABM in PE value creation | OrbitalX</t>
  </si>
  <si>
    <t xml:space="preserve">Unlocking Growth with Emails: The Power of Targeted Outreach in Demand Generation | OrbitalX</t>
  </si>
  <si>
    <t xml:space="preserve">Discover how targeted email outreach drives demand generation. Learn strategies for personalised messaging that converts prospects into pipeline.</t>
  </si>
  <si>
    <t xml:space="preserve">https://orbitalx.com/resources/webinar-lead-generation</t>
  </si>
  <si>
    <t xml:space="preserve">Webinar Lead Generation: How to Turn Registrations Into Pipeline Signal | OrbitalX</t>
  </si>
  <si>
    <t xml:space="preserve">https://orbitalx.com/resources/webinar-mastery-10-steps-to-take-your-webinars-from-planning-to-powerful-results</t>
  </si>
  <si>
    <t xml:space="preserve">Webinar Mastery: 10 steps to take your webinars from planning to powerful results | OrbitalX</t>
  </si>
  <si>
    <t xml:space="preserve">What Are the Most Innovative B2B Demand Generation Techniques That Work? | OrbitalX</t>
  </si>
  <si>
    <t xml:space="preserve">Explore innovative B2B demand generation techniques that deliver real results. Learn strategies modern teams use to attract and convert high-value buyers.</t>
  </si>
  <si>
    <t xml:space="preserve">What is All Bound?: Understanding the Strategy Behind Comprehensive Sales Approaches | OrbitalX</t>
  </si>
  <si>
    <t xml:space="preserve">What is the All-Bound approach in sales and marketing? Learn how combining inbound and outbound creates a stronger revenue engine.</t>
  </si>
  <si>
    <t xml:space="preserve">What is Demand Generation? | OrbitalX</t>
  </si>
  <si>
    <t xml:space="preserve">What is demand generation and why does it matter? Learn how modern B2B teams build awareness, trust, and pipeline with demand-led strategies.</t>
  </si>
  <si>
    <t xml:space="preserve">Why Cost-Efficient Growth Starts with Understanding GTM Efficiency | OrbitalX</t>
  </si>
  <si>
    <t xml:space="preserve">Cost-efficient growth starts with understanding GTM efficiency. Learn how to measure and optimise performance across your revenue engine.</t>
  </si>
  <si>
    <t xml:space="preserve">You can’t scale Demand Generation without Business Development foundations | OrbitalX</t>
  </si>
  <si>
    <t xml:space="preserve">Demand generation cannot scale without strong business development foundations. Learn how BD and marketing work together to create sustainable growth.</t>
  </si>
  <si>
    <t xml:space="preserve">Your Team Is Producing More Content Than Ever. Is Any of It Working? | OrbitalX</t>
  </si>
  <si>
    <t xml:space="preserve">Your Way to the #DarkSocial | OrbitalX</t>
  </si>
  <si>
    <t xml:space="preserve">Understand the impact of dark social on modern B2B demand generation. Learn how private sharing channels influence buying decisions and pipeline growth.</t>
  </si>
  <si>
    <t xml:space="preserve">Service</t>
  </si>
  <si>
    <t xml:space="preserve">B2B Marketing Services — Owned, Paid &amp; Earned Media | OrbitalX</t>
  </si>
  <si>
    <t xml:space="preserve">Explore OrbitalX services across owned, paid, and earned media, plus AI agents and GTM engineering. One partner for strategy, creative, distribution, and measurable pipeline impact.</t>
  </si>
  <si>
    <t xml:space="preserve">Account-Based Marketing Services | 1:Many, 1:Few &amp; 1:1 ABM | OrbitalX</t>
  </si>
  <si>
    <t xml:space="preserve">Account-based marketing services scoped by tier. Account selection, buying-committee mapping and personalised campaigns across the channels your buyers actually use.</t>
  </si>
  <si>
    <t xml:space="preserve">AI Agent Development Services for B2B GTM | OrbitalX</t>
  </si>
  <si>
    <t xml:space="preserve">AI agents that score accounts, enrich data and trigger the next move, built into the ABM and demand generation programmes we already run for you.</t>
  </si>
  <si>
    <t xml:space="preserve">B2B Demand Generation Agency | Create Demand, Not Just Capture It | OrbitalX</t>
  </si>
  <si>
    <t xml:space="preserve">A B2B demand generation agency that builds category awareness and buyer intent months before sales picks up the phone, so target accounts already know who you are.</t>
  </si>
  <si>
    <t xml:space="preserve">GTM Engineering Services | CRM, Routing &amp; Integrations | OrbitalX</t>
  </si>
  <si>
    <t xml:space="preserve">GTM engineering services that rebuild routing, lifecycle stages and the integrations between HubSpot, Salesforce and Outreach, so your GTM stack finally talks to itself.</t>
  </si>
  <si>
    <t xml:space="preserve">Owned Media — Content, Email &amp; Audience Building | OrbitalX</t>
  </si>
  <si>
    <t xml:space="preserve">Build a powerful owned media ecosystem with OrbitalX. Create content, channels, and assets that drive long-term demand and brand authority.</t>
  </si>
  <si>
    <t xml:space="preserve">Paid Media — LinkedIn, Meta &amp; Google Ads for B2B | OrbitalX</t>
  </si>
  <si>
    <t xml:space="preserve">Predictable acquisition on LinkedIn, Meta, and Google aimed at ICP pipeline buyers. Turn your best angles into high-performance campaigns that lower CPL monthly.</t>
  </si>
  <si>
    <t xml:space="preserve">Our Team — The People Behind OrbitalX | OrbitalX</t>
  </si>
  <si>
    <t xml:space="preserve">Meet the cross-functional team that executes end-to-end B2B marketing. 15 skill sets for the cost of one hire — strategists, creatives, analysts, and growth marketers.</t>
  </si>
  <si>
    <t xml:space="preserve">Semrush organic positions (US, 12 Oct 2026)</t>
  </si>
  <si>
    <t xml:space="preserve">Raw export, de-duplicated (one exact duplicate row removed).</t>
  </si>
  <si>
    <t xml:space="preserve">Position</t>
  </si>
  <si>
    <t xml:space="preserve">Volume</t>
  </si>
  <si>
    <t xml:space="preserve">Traffic</t>
  </si>
  <si>
    <t xml:space="preserve">SERP features</t>
  </si>
  <si>
    <t xml:space="preserve">abm personalization tools</t>
  </si>
  <si>
    <t xml:space="preserve">informational</t>
  </si>
  <si>
    <t xml:space="preserve">Video, People also ask, Related searches, AI overview</t>
  </si>
  <si>
    <t xml:space="preserve">abm tools with contact-level intent</t>
  </si>
  <si>
    <t xml:space="preserve">Reviews, Video, Ads bottom, People also ask, Related searches, AI overview</t>
  </si>
  <si>
    <t xml:space="preserve">abx campaign</t>
  </si>
  <si>
    <t xml:space="preserve">Sitelinks, Reviews, Video, Video Carousel, People also ask, Related searches, AI overview</t>
  </si>
  <si>
    <t xml:space="preserve">abx platforms</t>
  </si>
  <si>
    <t xml:space="preserve">account based advertising software market</t>
  </si>
  <si>
    <t xml:space="preserve">commercial, informational</t>
  </si>
  <si>
    <t xml:space="preserve">Sitelinks, Reviews, Video, Related searches, AI overview</t>
  </si>
  <si>
    <t xml:space="preserve">account based everything b2b marketing</t>
  </si>
  <si>
    <t xml:space="preserve">Sitelinks, Reviews, Video, Video Carousel, Related searches, AI overview</t>
  </si>
  <si>
    <t xml:space="preserve">Image pack, Sitelinks, Video, People also ask, AI overview</t>
  </si>
  <si>
    <t xml:space="preserve">account based marketing for enterprise</t>
  </si>
  <si>
    <t xml:space="preserve">Sitelinks, Video, People also ask, Related searches, AI overview</t>
  </si>
  <si>
    <t xml:space="preserve">Sitelinks, Reviews, Video, People also ask, Related searches, AI overview</t>
  </si>
  <si>
    <t xml:space="preserve">account based marketing platforms with intent signals</t>
  </si>
  <si>
    <t xml:space="preserve">account based selling strategy software</t>
  </si>
  <si>
    <t xml:space="preserve">Sitelinks, Reviews, Video, Related searches, Discussions and forums, AI overview</t>
  </si>
  <si>
    <t xml:space="preserve">account-based marketing solutions</t>
  </si>
  <si>
    <t xml:space="preserve">account-based marketing tool</t>
  </si>
  <si>
    <t xml:space="preserve">Reviews, Video, People also ask, Related searches, AI overview</t>
  </si>
  <si>
    <t xml:space="preserve">account-based outreach software</t>
  </si>
  <si>
    <t xml:space="preserve">Sitelinks, Reviews, Video, People also ask, AI overview</t>
  </si>
  <si>
    <t xml:space="preserve">asteroidx</t>
  </si>
  <si>
    <t xml:space="preserve">navigational</t>
  </si>
  <si>
    <t xml:space="preserve">Knowledge panel, Image pack, Sitelinks, Reviews, Video, Related searches, AI overview</t>
  </si>
  <si>
    <t xml:space="preserve">b2b accounts</t>
  </si>
  <si>
    <t xml:space="preserve">Image pack, Sitelinks, Reviews, Video, Image, People also ask, Related searches, AI overview</t>
  </si>
  <si>
    <t xml:space="preserve">b2b go-to-market optimization partners</t>
  </si>
  <si>
    <t xml:space="preserve">Video, Video Carousel, People also ask, Related searches, AI overview</t>
  </si>
  <si>
    <t xml:space="preserve">b2b go-to-market partners for logistics brands</t>
  </si>
  <si>
    <t xml:space="preserve">b2b software companies disjointed sales marketing systems revenue impact</t>
  </si>
  <si>
    <t xml:space="preserve">best account-based marketing platform for demand generation</t>
  </si>
  <si>
    <t xml:space="preserve">commercial</t>
  </si>
  <si>
    <t xml:space="preserve">billionx</t>
  </si>
  <si>
    <t xml:space="preserve">Sitelinks, Video</t>
  </si>
  <si>
    <t xml:space="preserve">deltay.xyz target audience b2b smes</t>
  </si>
  <si>
    <t xml:space="preserve">Reviews, Video, AI overview</t>
  </si>
  <si>
    <t xml:space="preserve">Sitelinks, Video, Video Carousel, People also ask, Related searches, AI overview</t>
  </si>
  <si>
    <t xml:space="preserve">demand gen vs pmax</t>
  </si>
  <si>
    <t xml:space="preserve">demand gen vs. lead gen</t>
  </si>
  <si>
    <t xml:space="preserve">Image pack, Reviews, Video, People also ask, AI overview</t>
  </si>
  <si>
    <t xml:space="preserve">demand generation recruiters</t>
  </si>
  <si>
    <t xml:space="preserve">Reviews, Video, Ads top, People also ask, Related searches, AI overview</t>
  </si>
  <si>
    <t xml:space="preserve">demandx</t>
  </si>
  <si>
    <t xml:space="preserve">Image pack, Sitelinks, Reviews, Video, Related searches, AI overview</t>
  </si>
  <si>
    <t xml:space="preserve">enterprise abm teams results turtl</t>
  </si>
  <si>
    <t xml:space="preserve">informational, navigational</t>
  </si>
  <si>
    <t xml:space="preserve">google ads demand gen vs performance max optimization</t>
  </si>
  <si>
    <t xml:space="preserve">Sitelinks, Reviews, Video, Video Carousel, People also ask, Related searches, Discussions and forums, AI overview</t>
  </si>
  <si>
    <t xml:space="preserve">gtm engineering signal-driven flywheels definition</t>
  </si>
  <si>
    <t xml:space="preserve">how are other marketing teams solving complex rendering performance requirements</t>
  </si>
  <si>
    <t xml:space="preserve">larger market formula</t>
  </si>
  <si>
    <t xml:space="preserve">Image pack, Reviews, Video, Image, People also ask, Related searches, AI overview</t>
  </si>
  <si>
    <t xml:space="preserve">lead scoring model for seo growth intent</t>
  </si>
  <si>
    <t xml:space="preserve">Video, People also ask, AI overview</t>
  </si>
  <si>
    <t xml:space="preserve">leading account-based marketing consulting options for large software firms</t>
  </si>
  <si>
    <t xml:space="preserve">Reviews, Video, Related searches, AI overview</t>
  </si>
  <si>
    <t xml:space="preserve">nexxi b2b go-to-market enablement ai-native teams</t>
  </si>
  <si>
    <t xml:space="preserve">nexxi b2b go-to-market enablement alternatives</t>
  </si>
  <si>
    <t xml:space="preserve">orbit x</t>
  </si>
  <si>
    <t xml:space="preserve">orbit-x</t>
  </si>
  <si>
    <t xml:space="preserve">Sitelinks, Reviews, Video, People also ask, Popular products, Related searches, AI overview</t>
  </si>
  <si>
    <t xml:space="preserve">orbital company</t>
  </si>
  <si>
    <t xml:space="preserve">Local pack, Sitelinks, Video, People also ask, Related searches, AI overview</t>
  </si>
  <si>
    <t xml:space="preserve">orbital inc.</t>
  </si>
  <si>
    <t xml:space="preserve">orbital llc</t>
  </si>
  <si>
    <t xml:space="preserve">Video, Related searches, AI overview</t>
  </si>
  <si>
    <t xml:space="preserve">orbital management</t>
  </si>
  <si>
    <t xml:space="preserve">orbital software</t>
  </si>
  <si>
    <t xml:space="preserve">orbital tech</t>
  </si>
  <si>
    <t xml:space="preserve">orbital technologies</t>
  </si>
  <si>
    <t xml:space="preserve">Local pack, Sitelinks, Video, People also ask, Related searches</t>
  </si>
  <si>
    <t xml:space="preserve">orbital x</t>
  </si>
  <si>
    <t xml:space="preserve">Knowledge panel, Image pack, Sitelinks, Reviews, Video, Related searches</t>
  </si>
  <si>
    <t xml:space="preserve">orbitx</t>
  </si>
  <si>
    <t xml:space="preserve">Image pack, Reviews, Video, Related searches, AI overview</t>
  </si>
  <si>
    <t xml:space="preserve">programmatic advertising b2b</t>
  </si>
  <si>
    <t xml:space="preserve">top abm software providers</t>
  </si>
  <si>
    <t xml:space="preserve">Sitelinks, Reviews, Video, Ads bottom, People also ask, Related searches, AI overview</t>
  </si>
  <si>
    <t xml:space="preserve">top abm tools programmatic account-based advertising</t>
  </si>
  <si>
    <t xml:space="preserve">top services for scaling account-based marketing</t>
  </si>
  <si>
    <t xml:space="preserve">withorbital</t>
  </si>
  <si>
    <t xml:space="preserve">Sitelinks, Video, Related searches</t>
  </si>
  <si>
    <t xml:space="preserve">x orbital</t>
  </si>
  <si>
    <t xml:space="preserve">Image pack, Sitelinks, Reviews, Video, Related searches</t>
  </si>
  <si>
    <t xml:space="preserve">yieldify</t>
  </si>
  <si>
    <t xml:space="preserve">Sitelinks, Reviews, Related searches, AI overview</t>
  </si>
  <si>
    <t xml:space="preserve">Google Search Console: daily performance</t>
  </si>
  <si>
    <t xml:space="preserve">Source: GSC export, Web search, last 3 months (11 Jul – 10 Oct 2026). Month column is a formula.</t>
  </si>
  <si>
    <t xml:space="preserve">Date</t>
  </si>
  <si>
    <t xml:space="preserve">Google Search Console: countries</t>
  </si>
  <si>
    <t xml:space="preserve">Source: GSC export, last 3 months. CTR recomputed as a formula.</t>
  </si>
  <si>
    <t xml:space="preserve">United Kingdom</t>
  </si>
  <si>
    <t xml:space="preserve">Philippines</t>
  </si>
  <si>
    <t xml:space="preserve">United States</t>
  </si>
  <si>
    <t xml:space="preserve">South Africa</t>
  </si>
  <si>
    <t xml:space="preserve">India</t>
  </si>
  <si>
    <t xml:space="preserve">Sweden</t>
  </si>
  <si>
    <t xml:space="preserve">Netherlands</t>
  </si>
  <si>
    <t xml:space="preserve">Germany</t>
  </si>
  <si>
    <t xml:space="preserve">Spain</t>
  </si>
  <si>
    <t xml:space="preserve">Canada</t>
  </si>
  <si>
    <t xml:space="preserve">France</t>
  </si>
  <si>
    <t xml:space="preserve">Thailand</t>
  </si>
  <si>
    <t xml:space="preserve">Egypt</t>
  </si>
  <si>
    <t xml:space="preserve">Greece</t>
  </si>
  <si>
    <t xml:space="preserve">Portugal</t>
  </si>
  <si>
    <t xml:space="preserve">Ireland</t>
  </si>
  <si>
    <t xml:space="preserve">Nigeria</t>
  </si>
  <si>
    <t xml:space="preserve">Denmark</t>
  </si>
  <si>
    <t xml:space="preserve">Macedonia</t>
  </si>
  <si>
    <t xml:space="preserve">Australia</t>
  </si>
  <si>
    <t xml:space="preserve">Pakistan</t>
  </si>
  <si>
    <t xml:space="preserve">Serbia</t>
  </si>
  <si>
    <t xml:space="preserve">Israel</t>
  </si>
  <si>
    <t xml:space="preserve">Ukraine</t>
  </si>
  <si>
    <t xml:space="preserve">Turkey</t>
  </si>
  <si>
    <t xml:space="preserve">Romania</t>
  </si>
  <si>
    <t xml:space="preserve">Finland</t>
  </si>
  <si>
    <t xml:space="preserve">Hungary</t>
  </si>
  <si>
    <t xml:space="preserve">Poland</t>
  </si>
  <si>
    <t xml:space="preserve">Singapore</t>
  </si>
  <si>
    <t xml:space="preserve">Mexico</t>
  </si>
  <si>
    <t xml:space="preserve">Italy</t>
  </si>
  <si>
    <t xml:space="preserve">United Arab Emirates</t>
  </si>
  <si>
    <t xml:space="preserve">Hong Kong</t>
  </si>
  <si>
    <t xml:space="preserve">Belgium</t>
  </si>
  <si>
    <t xml:space="preserve">Georgia</t>
  </si>
  <si>
    <t xml:space="preserve">Brazil</t>
  </si>
  <si>
    <t xml:space="preserve">Indonesia</t>
  </si>
  <si>
    <t xml:space="preserve">Malaysia</t>
  </si>
  <si>
    <t xml:space="preserve">Argentina</t>
  </si>
  <si>
    <t xml:space="preserve">New Zealand</t>
  </si>
  <si>
    <t xml:space="preserve">Japan</t>
  </si>
  <si>
    <t xml:space="preserve">Switzerland</t>
  </si>
  <si>
    <t xml:space="preserve">Saudi Arabia</t>
  </si>
  <si>
    <t xml:space="preserve">China</t>
  </si>
  <si>
    <t xml:space="preserve">Croatia</t>
  </si>
  <si>
    <t xml:space="preserve">Iran</t>
  </si>
  <si>
    <t xml:space="preserve">Slovakia</t>
  </si>
  <si>
    <t xml:space="preserve">Mongolia</t>
  </si>
  <si>
    <t xml:space="preserve">Azerbaijan</t>
  </si>
  <si>
    <t xml:space="preserve">Zambia</t>
  </si>
  <si>
    <t xml:space="preserve">Côte d’Ivoire</t>
  </si>
  <si>
    <t xml:space="preserve">Fiji</t>
  </si>
  <si>
    <t xml:space="preserve">Vietnam</t>
  </si>
  <si>
    <t xml:space="preserve">Russia</t>
  </si>
  <si>
    <t xml:space="preserve">Bangladesh</t>
  </si>
  <si>
    <t xml:space="preserve">Colombia</t>
  </si>
  <si>
    <t xml:space="preserve">South Korea</t>
  </si>
  <si>
    <t xml:space="preserve">Morocco</t>
  </si>
  <si>
    <t xml:space="preserve">Lithuania</t>
  </si>
  <si>
    <t xml:space="preserve">Taiwan</t>
  </si>
  <si>
    <t xml:space="preserve">Peru</t>
  </si>
  <si>
    <t xml:space="preserve">Kenya</t>
  </si>
  <si>
    <t xml:space="preserve">Iraq</t>
  </si>
  <si>
    <t xml:space="preserve">Bulgaria</t>
  </si>
  <si>
    <t xml:space="preserve">Chile</t>
  </si>
  <si>
    <t xml:space="preserve">Czechia</t>
  </si>
  <si>
    <t xml:space="preserve">Norway</t>
  </si>
  <si>
    <t xml:space="preserve">Algeria</t>
  </si>
  <si>
    <t xml:space="preserve">Austria</t>
  </si>
  <si>
    <t xml:space="preserve">Ecuador</t>
  </si>
  <si>
    <t xml:space="preserve">Sri Lanka</t>
  </si>
  <si>
    <t xml:space="preserve">Uruguay</t>
  </si>
  <si>
    <t xml:space="preserve">Jordan</t>
  </si>
  <si>
    <t xml:space="preserve">Puerto Rico</t>
  </si>
  <si>
    <t xml:space="preserve">Moldova</t>
  </si>
  <si>
    <t xml:space="preserve">Belarus</t>
  </si>
  <si>
    <t xml:space="preserve">Bosnia &amp; Herzegovina</t>
  </si>
  <si>
    <t xml:space="preserve">Estonia</t>
  </si>
  <si>
    <t xml:space="preserve">Qatar</t>
  </si>
  <si>
    <t xml:space="preserve">Cyprus</t>
  </si>
  <si>
    <t xml:space="preserve">Kazakhstan</t>
  </si>
  <si>
    <t xml:space="preserve">Nepal</t>
  </si>
  <si>
    <t xml:space="preserve">Venezuela</t>
  </si>
  <si>
    <t xml:space="preserve">Lebanon</t>
  </si>
  <si>
    <t xml:space="preserve">Dominican Republic</t>
  </si>
  <si>
    <t xml:space="preserve">Slovenia</t>
  </si>
  <si>
    <t xml:space="preserve">Costa Rica</t>
  </si>
  <si>
    <t xml:space="preserve">Paraguay</t>
  </si>
  <si>
    <t xml:space="preserve">Latvia</t>
  </si>
  <si>
    <t xml:space="preserve">Trinidad &amp; Tobago</t>
  </si>
  <si>
    <t xml:space="preserve">Uzbekistan</t>
  </si>
  <si>
    <t xml:space="preserve">Bolivia</t>
  </si>
  <si>
    <t xml:space="preserve">Albania</t>
  </si>
  <si>
    <t xml:space="preserve">Armenia</t>
  </si>
  <si>
    <t xml:space="preserve">Kuwait</t>
  </si>
  <si>
    <t xml:space="preserve">Cambodia</t>
  </si>
  <si>
    <t xml:space="preserve">Luxembourg</t>
  </si>
  <si>
    <t xml:space="preserve">Panama</t>
  </si>
  <si>
    <t xml:space="preserve">Uganda</t>
  </si>
  <si>
    <t xml:space="preserve">Tanzania</t>
  </si>
  <si>
    <t xml:space="preserve">Bahrain</t>
  </si>
  <si>
    <t xml:space="preserve">Honduras</t>
  </si>
  <si>
    <t xml:space="preserve">Palestine</t>
  </si>
  <si>
    <t xml:space="preserve">Ghana</t>
  </si>
  <si>
    <t xml:space="preserve">Macau</t>
  </si>
  <si>
    <t xml:space="preserve">Tunisia</t>
  </si>
  <si>
    <t xml:space="preserve">Rwanda</t>
  </si>
  <si>
    <t xml:space="preserve">Ethiopia</t>
  </si>
  <si>
    <t xml:space="preserve">Oman</t>
  </si>
  <si>
    <t xml:space="preserve">Laos</t>
  </si>
  <si>
    <t xml:space="preserve">Cayman Islands</t>
  </si>
  <si>
    <t xml:space="preserve">Jamaica</t>
  </si>
  <si>
    <t xml:space="preserve">Libya</t>
  </si>
  <si>
    <t xml:space="preserve">Barbados</t>
  </si>
  <si>
    <t xml:space="preserve">Kyrgyzstan</t>
  </si>
  <si>
    <t xml:space="preserve">Nicaragua</t>
  </si>
  <si>
    <t xml:space="preserve">Maldives</t>
  </si>
  <si>
    <t xml:space="preserve">Iceland</t>
  </si>
  <si>
    <t xml:space="preserve">Congo - Kinshasa</t>
  </si>
  <si>
    <t xml:space="preserve">Bermuda</t>
  </si>
  <si>
    <t xml:space="preserve">Guyana</t>
  </si>
  <si>
    <t xml:space="preserve">Gibraltar</t>
  </si>
  <si>
    <t xml:space="preserve">Myanmar (Burma)</t>
  </si>
  <si>
    <t xml:space="preserve">French Polynesia</t>
  </si>
  <si>
    <t xml:space="preserve">U.S. Virgin Islands</t>
  </si>
  <si>
    <t xml:space="preserve">El Salvador</t>
  </si>
  <si>
    <t xml:space="preserve">Zimbabwe</t>
  </si>
  <si>
    <t xml:space="preserve">Guatemala</t>
  </si>
  <si>
    <t xml:space="preserve">Botswana</t>
  </si>
  <si>
    <t xml:space="preserve">Mauritius</t>
  </si>
  <si>
    <t xml:space="preserve">Cuba</t>
  </si>
  <si>
    <t xml:space="preserve">Madagascar</t>
  </si>
  <si>
    <t xml:space="preserve">Montenegro</t>
  </si>
  <si>
    <t xml:space="preserve">Burkina Faso</t>
  </si>
  <si>
    <t xml:space="preserve">Unknown Region</t>
  </si>
  <si>
    <t xml:space="preserve">Isle of Man</t>
  </si>
  <si>
    <t xml:space="preserve">Malta</t>
  </si>
  <si>
    <t xml:space="preserve">Åland Islands</t>
  </si>
  <si>
    <t xml:space="preserve">Angola</t>
  </si>
  <si>
    <t xml:space="preserve">Sierra Leone</t>
  </si>
  <si>
    <t xml:space="preserve">Mali</t>
  </si>
  <si>
    <t xml:space="preserve">North Korea</t>
  </si>
  <si>
    <t xml:space="preserve">Belize</t>
  </si>
  <si>
    <t xml:space="preserve">Grenada</t>
  </si>
  <si>
    <t xml:space="preserve">Brunei</t>
  </si>
  <si>
    <t xml:space="preserve">Benin</t>
  </si>
  <si>
    <t xml:space="preserve">Afghanistan</t>
  </si>
  <si>
    <t xml:space="preserve">Senegal</t>
  </si>
  <si>
    <t xml:space="preserve">Syria</t>
  </si>
  <si>
    <t xml:space="preserve">Bahamas</t>
  </si>
  <si>
    <t xml:space="preserve">Suriname</t>
  </si>
  <si>
    <t xml:space="preserve">Togo</t>
  </si>
  <si>
    <t xml:space="preserve">São Tomé &amp; Príncipe</t>
  </si>
  <si>
    <t xml:space="preserve">Gambia</t>
  </si>
  <si>
    <t xml:space="preserve">Malawi</t>
  </si>
  <si>
    <t xml:space="preserve">Yemen</t>
  </si>
  <si>
    <t xml:space="preserve">South Sudan</t>
  </si>
  <si>
    <t xml:space="preserve">Mozambique</t>
  </si>
  <si>
    <t xml:space="preserve">Sources and method</t>
  </si>
  <si>
    <t xml:space="preserve">Item</t>
  </si>
  <si>
    <t xml:space="preserve">Detail</t>
  </si>
  <si>
    <t xml:space="preserve">Site crawl</t>
  </si>
  <si>
    <t xml:space="preserve">All 152 sitemap URLs fetched 13 Oct 2026: status, title, meta, canonical, robots, OG, headings, JSON-LD, images, links, word count; plus robots.txt, URL variants, pagination, 404, app. subdomain.</t>
  </si>
  <si>
    <t xml:space="preserve">Semrush</t>
  </si>
  <si>
    <t xml:space="preserve">Organic Positions + Organic Pages, US database, 12 Oct 2026. Traffic figures are estimates. No UK export yet.</t>
  </si>
  <si>
    <t xml:space="preserve">Google Search Console</t>
  </si>
  <si>
    <t xml:space="preserve">Web search, last 3 months (11 Jul – 10 Oct 2026): daily chart, countries, devices, pages. No Queries export was provided.</t>
  </si>
  <si>
    <t xml:space="preserve">Live web searches on 13 Oct 2026 for agency, ABM, demand gen and GTM terms. Competitor pricing and clients come from third-party roundups/directories and are indicative only.</t>
  </si>
  <si>
    <t xml:space="preserve">Assumptions</t>
  </si>
  <si>
    <t xml:space="preserve">Target CTR by position (Page Opportunities, blue cells) is a conservative assumption, not a measured benchmark.</t>
  </si>
  <si>
    <t xml:space="preserve">Not verified</t>
  </si>
  <si>
    <t xml:space="preserve">Backlinks, Core Web Vitals, index coverage report, UK rankings, HTTP→HTTPS redirect, subdomain microsites (SSL handshake failed from the audit environment), Webflow-hosted logo.</t>
  </si>
  <si>
    <t xml:space="preserve">Source URLs</t>
  </si>
  <si>
    <t xml:space="preserve">clutch.co/profile/orbitalx · g2.com/sellers/strategicabm · gripped.io/digital-marketing-strategy/b2b-abm-agency/ · directiveconsulting.com/uk/blog/demand-generation-agencies/ · poweredbysearch.com/learn/best-b2b-demand-generation-agencies/ · blendb2b.com/resources/best-b2b-demand-generation-agencies-uk-2026 · polarisagency.com/marketing-insights/best-demand-gen-agencies-b2b-uk/ · b2bmarketing.net/top-uk-demand-generation-agencies-2026-blog/ · digitallitmus.com/blog/best-abm-agencies · onemetrik.com/blogs/best-abm-agencies/ · gtm8020.com/blog/best-abm-agencies-b2b-saas · revvgrowth.com/abm/abm-digital-marketing-agency · thegrowthsyndicate.com/agencies/top-account-based-marketing-agencies-uk · bestabmagencies.com · piperocket.digital/list/best-abm-agencies/ · 310creative.com/blog/top-abm-agencies/ · o8.agency/services/account-based-marketing-agency · teamlewis.com · searchatlas.com/blog/demand-gen-vs-performance-max/ · seerinteractive.com/insights/google-performance-max-vs-demand-gen · abmatic.ai/blog/best-account-based-marketing-tools-2026 · userled.io/articles/best-abm-tools-2026 · nektar.ai · salesforge.ai/directory/agencies/strategicabm · syncgtm.com/directory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</si>
</sst>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0.00%"/>
    <numFmt numFmtId="168" formatCode="0%"/>
    <numFmt numFmtId="169" formatCode="0"/>
    <numFmt numFmtId="170" formatCode="General"/>
    <numFmt numFmtId="171" formatCode="0.0%"/>
    <numFmt numFmtId="172" formatCode="\$0.00"/>
    <numFmt numFmtId="173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sz val="9"/>
      </font>
      <fill>
        <patternFill>
          <bgColor rgb="FFF8CBAD"/>
        </patternFill>
      </fill>
    </dxf>
    <dxf>
      <font>
        <name val="Arial"/>
        <charset val="1"/>
        <family val="0"/>
        <b val="1"/>
        <sz val="9"/>
      </font>
      <fill>
        <patternFill>
          <bgColor rgb="FFFFE699"/>
        </patternFill>
      </fill>
    </dxf>
    <dxf>
      <font>
        <name val="Arial"/>
        <charset val="1"/>
        <family val="0"/>
        <b val="1"/>
        <sz val="9"/>
      </font>
      <fill>
        <patternFill>
          <bgColor rgb="FFC6E0B4"/>
        </patternFill>
      </fill>
    </dxf>
    <dxf>
      <font>
        <name val="Arial"/>
        <charset val="1"/>
        <family val="0"/>
        <b val="1"/>
        <sz val="9"/>
      </font>
      <fill>
        <patternFill>
          <bgColor rgb="FFDDEBF7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DDEBF7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i val="1"/>
        <color rgb="FFC00000"/>
        <sz val="9"/>
      </font>
    </dxf>
    <dxf>
      <fill>
        <patternFill patternType="solid">
          <fgColor rgb="FFE2D1F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2D1F0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A6A6A6"/>
      <rgbColor rgb="FF7030A0"/>
      <rgbColor rgb="FFF2F6FC"/>
      <rgbColor rgb="FFDDEBF7"/>
      <rgbColor rgb="FF660066"/>
      <rgbColor rgb="FFFF8080"/>
      <rgbColor rgb="FF0066CC"/>
      <rgbColor rgb="FFE2D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clicks (GSC)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'GSC Daily'!B4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'GSC Daily'!$A$5:$A$96</c:f>
              <c:strCache>
                <c:ptCount val="92"/>
                <c:pt idx="0">
                  <c:v>2026-07-11</c:v>
                </c:pt>
                <c:pt idx="1">
                  <c:v>2026-07-12</c:v>
                </c:pt>
                <c:pt idx="2">
                  <c:v>2026-07-13</c:v>
                </c:pt>
                <c:pt idx="3">
                  <c:v>2026-07-14</c:v>
                </c:pt>
                <c:pt idx="4">
                  <c:v>2026-07-15</c:v>
                </c:pt>
                <c:pt idx="5">
                  <c:v>2026-07-16</c:v>
                </c:pt>
                <c:pt idx="6">
                  <c:v>2026-07-17</c:v>
                </c:pt>
                <c:pt idx="7">
                  <c:v>2026-07-18</c:v>
                </c:pt>
                <c:pt idx="8">
                  <c:v>2026-07-19</c:v>
                </c:pt>
                <c:pt idx="9">
                  <c:v>2026-07-20</c:v>
                </c:pt>
                <c:pt idx="10">
                  <c:v>2026-07-21</c:v>
                </c:pt>
                <c:pt idx="11">
                  <c:v>2026-07-22</c:v>
                </c:pt>
                <c:pt idx="12">
                  <c:v>2026-07-23</c:v>
                </c:pt>
                <c:pt idx="13">
                  <c:v>2026-07-24</c:v>
                </c:pt>
                <c:pt idx="14">
                  <c:v>2026-07-25</c:v>
                </c:pt>
                <c:pt idx="15">
                  <c:v>2026-07-26</c:v>
                </c:pt>
                <c:pt idx="16">
                  <c:v>2026-07-27</c:v>
                </c:pt>
                <c:pt idx="17">
                  <c:v>2026-07-28</c:v>
                </c:pt>
                <c:pt idx="18">
                  <c:v>2026-07-29</c:v>
                </c:pt>
                <c:pt idx="19">
                  <c:v>2026-07-30</c:v>
                </c:pt>
                <c:pt idx="20">
                  <c:v>2026-07-31</c:v>
                </c:pt>
                <c:pt idx="21">
                  <c:v>2026-08-01</c:v>
                </c:pt>
                <c:pt idx="22">
                  <c:v>2026-08-02</c:v>
                </c:pt>
                <c:pt idx="23">
                  <c:v>2026-08-03</c:v>
                </c:pt>
                <c:pt idx="24">
                  <c:v>2026-08-04</c:v>
                </c:pt>
                <c:pt idx="25">
                  <c:v>2026-08-05</c:v>
                </c:pt>
                <c:pt idx="26">
                  <c:v>2026-08-06</c:v>
                </c:pt>
                <c:pt idx="27">
                  <c:v>2026-08-07</c:v>
                </c:pt>
                <c:pt idx="28">
                  <c:v>2026-08-08</c:v>
                </c:pt>
                <c:pt idx="29">
                  <c:v>2026-08-09</c:v>
                </c:pt>
                <c:pt idx="30">
                  <c:v>2026-08-10</c:v>
                </c:pt>
                <c:pt idx="31">
                  <c:v>2026-08-11</c:v>
                </c:pt>
                <c:pt idx="32">
                  <c:v>2026-08-12</c:v>
                </c:pt>
                <c:pt idx="33">
                  <c:v>2026-08-13</c:v>
                </c:pt>
                <c:pt idx="34">
                  <c:v>2026-08-14</c:v>
                </c:pt>
                <c:pt idx="35">
                  <c:v>2026-08-15</c:v>
                </c:pt>
                <c:pt idx="36">
                  <c:v>2026-08-16</c:v>
                </c:pt>
                <c:pt idx="37">
                  <c:v>2026-08-17</c:v>
                </c:pt>
                <c:pt idx="38">
                  <c:v>2026-08-18</c:v>
                </c:pt>
                <c:pt idx="39">
                  <c:v>2026-08-19</c:v>
                </c:pt>
                <c:pt idx="40">
                  <c:v>2026-08-20</c:v>
                </c:pt>
                <c:pt idx="41">
                  <c:v>2026-08-21</c:v>
                </c:pt>
                <c:pt idx="42">
                  <c:v>2026-08-22</c:v>
                </c:pt>
                <c:pt idx="43">
                  <c:v>2026-08-23</c:v>
                </c:pt>
                <c:pt idx="44">
                  <c:v>2026-08-24</c:v>
                </c:pt>
                <c:pt idx="45">
                  <c:v>2026-08-25</c:v>
                </c:pt>
                <c:pt idx="46">
                  <c:v>2026-08-26</c:v>
                </c:pt>
                <c:pt idx="47">
                  <c:v>2026-08-27</c:v>
                </c:pt>
                <c:pt idx="48">
                  <c:v>2026-08-28</c:v>
                </c:pt>
                <c:pt idx="49">
                  <c:v>2026-08-29</c:v>
                </c:pt>
                <c:pt idx="50">
                  <c:v>2026-08-30</c:v>
                </c:pt>
                <c:pt idx="51">
                  <c:v>2026-08-31</c:v>
                </c:pt>
                <c:pt idx="52">
                  <c:v>2026-09-01</c:v>
                </c:pt>
                <c:pt idx="53">
                  <c:v>2026-09-02</c:v>
                </c:pt>
                <c:pt idx="54">
                  <c:v>2026-09-03</c:v>
                </c:pt>
                <c:pt idx="55">
                  <c:v>2026-09-04</c:v>
                </c:pt>
                <c:pt idx="56">
                  <c:v>2026-09-05</c:v>
                </c:pt>
                <c:pt idx="57">
                  <c:v>2026-09-06</c:v>
                </c:pt>
                <c:pt idx="58">
                  <c:v>2026-09-07</c:v>
                </c:pt>
                <c:pt idx="59">
                  <c:v>2026-09-08</c:v>
                </c:pt>
                <c:pt idx="60">
                  <c:v>2026-09-09</c:v>
                </c:pt>
                <c:pt idx="61">
                  <c:v>2026-09-10</c:v>
                </c:pt>
                <c:pt idx="62">
                  <c:v>2026-09-11</c:v>
                </c:pt>
                <c:pt idx="63">
                  <c:v>2026-09-12</c:v>
                </c:pt>
                <c:pt idx="64">
                  <c:v>2026-09-13</c:v>
                </c:pt>
                <c:pt idx="65">
                  <c:v>2026-09-14</c:v>
                </c:pt>
                <c:pt idx="66">
                  <c:v>2026-09-15</c:v>
                </c:pt>
                <c:pt idx="67">
                  <c:v>2026-09-16</c:v>
                </c:pt>
                <c:pt idx="68">
                  <c:v>2026-09-17</c:v>
                </c:pt>
                <c:pt idx="69">
                  <c:v>2026-09-18</c:v>
                </c:pt>
                <c:pt idx="70">
                  <c:v>2026-09-19</c:v>
                </c:pt>
                <c:pt idx="71">
                  <c:v>2026-09-20</c:v>
                </c:pt>
                <c:pt idx="72">
                  <c:v>2026-09-21</c:v>
                </c:pt>
                <c:pt idx="73">
                  <c:v>2026-09-22</c:v>
                </c:pt>
                <c:pt idx="74">
                  <c:v>2026-09-23</c:v>
                </c:pt>
                <c:pt idx="75">
                  <c:v>2026-09-24</c:v>
                </c:pt>
                <c:pt idx="76">
                  <c:v>2026-09-25</c:v>
                </c:pt>
                <c:pt idx="77">
                  <c:v>2026-09-26</c:v>
                </c:pt>
                <c:pt idx="78">
                  <c:v>2026-09-27</c:v>
                </c:pt>
                <c:pt idx="79">
                  <c:v>2026-09-28</c:v>
                </c:pt>
                <c:pt idx="80">
                  <c:v>2026-09-29</c:v>
                </c:pt>
                <c:pt idx="81">
                  <c:v>2026-09-30</c:v>
                </c:pt>
                <c:pt idx="82">
                  <c:v>2026-10-01</c:v>
                </c:pt>
                <c:pt idx="83">
                  <c:v>2026-10-02</c:v>
                </c:pt>
                <c:pt idx="84">
                  <c:v>2026-10-03</c:v>
                </c:pt>
                <c:pt idx="85">
                  <c:v>2026-10-04</c:v>
                </c:pt>
                <c:pt idx="86">
                  <c:v>2026-10-05</c:v>
                </c:pt>
                <c:pt idx="87">
                  <c:v>2026-10-06</c:v>
                </c:pt>
                <c:pt idx="88">
                  <c:v>2026-10-07</c:v>
                </c:pt>
                <c:pt idx="89">
                  <c:v>2026-10-08</c:v>
                </c:pt>
                <c:pt idx="90">
                  <c:v>2026-10-09</c:v>
                </c:pt>
                <c:pt idx="91">
                  <c:v>2026-10-10</c:v>
                </c:pt>
              </c:strCache>
            </c:strRef>
          </c:cat>
          <c:val>
            <c:numRef>
              <c:f>'GSC Daily'!$B$5:$B$96</c:f>
              <c:numCache>
                <c:formatCode>General</c:formatCode>
                <c:ptCount val="92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14</c:v>
                </c:pt>
                <c:pt idx="4">
                  <c:v>5</c:v>
                </c:pt>
                <c:pt idx="5">
                  <c:v>11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4</c:v>
                </c:pt>
                <c:pt idx="16">
                  <c:v>12</c:v>
                </c:pt>
                <c:pt idx="17">
                  <c:v>11</c:v>
                </c:pt>
                <c:pt idx="18">
                  <c:v>5</c:v>
                </c:pt>
                <c:pt idx="19">
                  <c:v>16</c:v>
                </c:pt>
                <c:pt idx="20">
                  <c:v>10</c:v>
                </c:pt>
                <c:pt idx="21">
                  <c:v>3</c:v>
                </c:pt>
                <c:pt idx="22">
                  <c:v>3</c:v>
                </c:pt>
                <c:pt idx="23">
                  <c:v>17</c:v>
                </c:pt>
                <c:pt idx="24">
                  <c:v>10</c:v>
                </c:pt>
                <c:pt idx="25">
                  <c:v>18</c:v>
                </c:pt>
                <c:pt idx="26">
                  <c:v>15</c:v>
                </c:pt>
                <c:pt idx="27">
                  <c:v>14</c:v>
                </c:pt>
                <c:pt idx="28">
                  <c:v>4</c:v>
                </c:pt>
                <c:pt idx="29">
                  <c:v>2</c:v>
                </c:pt>
                <c:pt idx="30">
                  <c:v>13</c:v>
                </c:pt>
                <c:pt idx="31">
                  <c:v>19</c:v>
                </c:pt>
                <c:pt idx="32">
                  <c:v>15</c:v>
                </c:pt>
                <c:pt idx="33">
                  <c:v>13</c:v>
                </c:pt>
                <c:pt idx="34">
                  <c:v>14</c:v>
                </c:pt>
                <c:pt idx="35">
                  <c:v>1</c:v>
                </c:pt>
                <c:pt idx="36">
                  <c:v>3</c:v>
                </c:pt>
                <c:pt idx="37">
                  <c:v>8</c:v>
                </c:pt>
                <c:pt idx="38">
                  <c:v>18</c:v>
                </c:pt>
                <c:pt idx="39">
                  <c:v>26</c:v>
                </c:pt>
                <c:pt idx="40">
                  <c:v>11</c:v>
                </c:pt>
                <c:pt idx="41">
                  <c:v>7</c:v>
                </c:pt>
                <c:pt idx="42">
                  <c:v>3</c:v>
                </c:pt>
                <c:pt idx="43">
                  <c:v>6</c:v>
                </c:pt>
                <c:pt idx="44">
                  <c:v>12</c:v>
                </c:pt>
                <c:pt idx="45">
                  <c:v>13</c:v>
                </c:pt>
                <c:pt idx="46">
                  <c:v>5</c:v>
                </c:pt>
                <c:pt idx="47">
                  <c:v>21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12</c:v>
                </c:pt>
                <c:pt idx="52">
                  <c:v>13</c:v>
                </c:pt>
                <c:pt idx="53">
                  <c:v>14</c:v>
                </c:pt>
                <c:pt idx="54">
                  <c:v>12</c:v>
                </c:pt>
                <c:pt idx="55">
                  <c:v>12</c:v>
                </c:pt>
                <c:pt idx="56">
                  <c:v>1</c:v>
                </c:pt>
                <c:pt idx="57">
                  <c:v>4</c:v>
                </c:pt>
                <c:pt idx="58">
                  <c:v>14</c:v>
                </c:pt>
                <c:pt idx="59">
                  <c:v>14</c:v>
                </c:pt>
                <c:pt idx="60">
                  <c:v>13</c:v>
                </c:pt>
                <c:pt idx="61">
                  <c:v>18</c:v>
                </c:pt>
                <c:pt idx="62">
                  <c:v>5</c:v>
                </c:pt>
                <c:pt idx="63">
                  <c:v>2</c:v>
                </c:pt>
                <c:pt idx="64">
                  <c:v>3</c:v>
                </c:pt>
                <c:pt idx="65">
                  <c:v>16</c:v>
                </c:pt>
                <c:pt idx="66">
                  <c:v>20</c:v>
                </c:pt>
                <c:pt idx="67">
                  <c:v>16</c:v>
                </c:pt>
                <c:pt idx="68">
                  <c:v>13</c:v>
                </c:pt>
                <c:pt idx="69">
                  <c:v>7</c:v>
                </c:pt>
                <c:pt idx="70">
                  <c:v>0</c:v>
                </c:pt>
                <c:pt idx="71">
                  <c:v>0</c:v>
                </c:pt>
                <c:pt idx="72">
                  <c:v>18</c:v>
                </c:pt>
                <c:pt idx="73">
                  <c:v>15</c:v>
                </c:pt>
                <c:pt idx="74">
                  <c:v>11</c:v>
                </c:pt>
                <c:pt idx="75">
                  <c:v>25</c:v>
                </c:pt>
                <c:pt idx="76">
                  <c:v>7</c:v>
                </c:pt>
                <c:pt idx="77">
                  <c:v>2</c:v>
                </c:pt>
                <c:pt idx="78">
                  <c:v>3</c:v>
                </c:pt>
                <c:pt idx="79">
                  <c:v>8</c:v>
                </c:pt>
                <c:pt idx="80">
                  <c:v>17</c:v>
                </c:pt>
                <c:pt idx="81">
                  <c:v>10</c:v>
                </c:pt>
                <c:pt idx="82">
                  <c:v>14</c:v>
                </c:pt>
                <c:pt idx="83">
                  <c:v>12</c:v>
                </c:pt>
                <c:pt idx="84">
                  <c:v>2</c:v>
                </c:pt>
                <c:pt idx="85">
                  <c:v>3</c:v>
                </c:pt>
                <c:pt idx="86">
                  <c:v>12</c:v>
                </c:pt>
                <c:pt idx="87">
                  <c:v>17</c:v>
                </c:pt>
                <c:pt idx="88">
                  <c:v>13</c:v>
                </c:pt>
                <c:pt idx="89">
                  <c:v>16</c:v>
                </c:pt>
                <c:pt idx="90">
                  <c:v>7</c:v>
                </c:pt>
                <c:pt idx="91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13204"/>
        <c:axId val="72198085"/>
      </c:lineChart>
      <c:catAx>
        <c:axId val="4013204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98085"/>
        <c:crosses val="autoZero"/>
        <c:auto val="1"/>
        <c:lblAlgn val="ctr"/>
        <c:lblOffset val="100"/>
        <c:noMultiLvlLbl val="0"/>
      </c:catAx>
      <c:valAx>
        <c:axId val="72198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3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average position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'GSC Daily'!E4</c:f>
              <c:strCache>
                <c:ptCount val="1"/>
                <c:pt idx="0">
                  <c:v>Avg position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'GSC Daily'!$A$5:$A$96</c:f>
              <c:strCache>
                <c:ptCount val="92"/>
                <c:pt idx="0">
                  <c:v>2026-07-11</c:v>
                </c:pt>
                <c:pt idx="1">
                  <c:v>2026-07-12</c:v>
                </c:pt>
                <c:pt idx="2">
                  <c:v>2026-07-13</c:v>
                </c:pt>
                <c:pt idx="3">
                  <c:v>2026-07-14</c:v>
                </c:pt>
                <c:pt idx="4">
                  <c:v>2026-07-15</c:v>
                </c:pt>
                <c:pt idx="5">
                  <c:v>2026-07-16</c:v>
                </c:pt>
                <c:pt idx="6">
                  <c:v>2026-07-17</c:v>
                </c:pt>
                <c:pt idx="7">
                  <c:v>2026-07-18</c:v>
                </c:pt>
                <c:pt idx="8">
                  <c:v>2026-07-19</c:v>
                </c:pt>
                <c:pt idx="9">
                  <c:v>2026-07-20</c:v>
                </c:pt>
                <c:pt idx="10">
                  <c:v>2026-07-21</c:v>
                </c:pt>
                <c:pt idx="11">
                  <c:v>2026-07-22</c:v>
                </c:pt>
                <c:pt idx="12">
                  <c:v>2026-07-23</c:v>
                </c:pt>
                <c:pt idx="13">
                  <c:v>2026-07-24</c:v>
                </c:pt>
                <c:pt idx="14">
                  <c:v>2026-07-25</c:v>
                </c:pt>
                <c:pt idx="15">
                  <c:v>2026-07-26</c:v>
                </c:pt>
                <c:pt idx="16">
                  <c:v>2026-07-27</c:v>
                </c:pt>
                <c:pt idx="17">
                  <c:v>2026-07-28</c:v>
                </c:pt>
                <c:pt idx="18">
                  <c:v>2026-07-29</c:v>
                </c:pt>
                <c:pt idx="19">
                  <c:v>2026-07-30</c:v>
                </c:pt>
                <c:pt idx="20">
                  <c:v>2026-07-31</c:v>
                </c:pt>
                <c:pt idx="21">
                  <c:v>2026-08-01</c:v>
                </c:pt>
                <c:pt idx="22">
                  <c:v>2026-08-02</c:v>
                </c:pt>
                <c:pt idx="23">
                  <c:v>2026-08-03</c:v>
                </c:pt>
                <c:pt idx="24">
                  <c:v>2026-08-04</c:v>
                </c:pt>
                <c:pt idx="25">
                  <c:v>2026-08-05</c:v>
                </c:pt>
                <c:pt idx="26">
                  <c:v>2026-08-06</c:v>
                </c:pt>
                <c:pt idx="27">
                  <c:v>2026-08-07</c:v>
                </c:pt>
                <c:pt idx="28">
                  <c:v>2026-08-08</c:v>
                </c:pt>
                <c:pt idx="29">
                  <c:v>2026-08-09</c:v>
                </c:pt>
                <c:pt idx="30">
                  <c:v>2026-08-10</c:v>
                </c:pt>
                <c:pt idx="31">
                  <c:v>2026-08-11</c:v>
                </c:pt>
                <c:pt idx="32">
                  <c:v>2026-08-12</c:v>
                </c:pt>
                <c:pt idx="33">
                  <c:v>2026-08-13</c:v>
                </c:pt>
                <c:pt idx="34">
                  <c:v>2026-08-14</c:v>
                </c:pt>
                <c:pt idx="35">
                  <c:v>2026-08-15</c:v>
                </c:pt>
                <c:pt idx="36">
                  <c:v>2026-08-16</c:v>
                </c:pt>
                <c:pt idx="37">
                  <c:v>2026-08-17</c:v>
                </c:pt>
                <c:pt idx="38">
                  <c:v>2026-08-18</c:v>
                </c:pt>
                <c:pt idx="39">
                  <c:v>2026-08-19</c:v>
                </c:pt>
                <c:pt idx="40">
                  <c:v>2026-08-20</c:v>
                </c:pt>
                <c:pt idx="41">
                  <c:v>2026-08-21</c:v>
                </c:pt>
                <c:pt idx="42">
                  <c:v>2026-08-22</c:v>
                </c:pt>
                <c:pt idx="43">
                  <c:v>2026-08-23</c:v>
                </c:pt>
                <c:pt idx="44">
                  <c:v>2026-08-24</c:v>
                </c:pt>
                <c:pt idx="45">
                  <c:v>2026-08-25</c:v>
                </c:pt>
                <c:pt idx="46">
                  <c:v>2026-08-26</c:v>
                </c:pt>
                <c:pt idx="47">
                  <c:v>2026-08-27</c:v>
                </c:pt>
                <c:pt idx="48">
                  <c:v>2026-08-28</c:v>
                </c:pt>
                <c:pt idx="49">
                  <c:v>2026-08-29</c:v>
                </c:pt>
                <c:pt idx="50">
                  <c:v>2026-08-30</c:v>
                </c:pt>
                <c:pt idx="51">
                  <c:v>2026-08-31</c:v>
                </c:pt>
                <c:pt idx="52">
                  <c:v>2026-09-01</c:v>
                </c:pt>
                <c:pt idx="53">
                  <c:v>2026-09-02</c:v>
                </c:pt>
                <c:pt idx="54">
                  <c:v>2026-09-03</c:v>
                </c:pt>
                <c:pt idx="55">
                  <c:v>2026-09-04</c:v>
                </c:pt>
                <c:pt idx="56">
                  <c:v>2026-09-05</c:v>
                </c:pt>
                <c:pt idx="57">
                  <c:v>2026-09-06</c:v>
                </c:pt>
                <c:pt idx="58">
                  <c:v>2026-09-07</c:v>
                </c:pt>
                <c:pt idx="59">
                  <c:v>2026-09-08</c:v>
                </c:pt>
                <c:pt idx="60">
                  <c:v>2026-09-09</c:v>
                </c:pt>
                <c:pt idx="61">
                  <c:v>2026-09-10</c:v>
                </c:pt>
                <c:pt idx="62">
                  <c:v>2026-09-11</c:v>
                </c:pt>
                <c:pt idx="63">
                  <c:v>2026-09-12</c:v>
                </c:pt>
                <c:pt idx="64">
                  <c:v>2026-09-13</c:v>
                </c:pt>
                <c:pt idx="65">
                  <c:v>2026-09-14</c:v>
                </c:pt>
                <c:pt idx="66">
                  <c:v>2026-09-15</c:v>
                </c:pt>
                <c:pt idx="67">
                  <c:v>2026-09-16</c:v>
                </c:pt>
                <c:pt idx="68">
                  <c:v>2026-09-17</c:v>
                </c:pt>
                <c:pt idx="69">
                  <c:v>2026-09-18</c:v>
                </c:pt>
                <c:pt idx="70">
                  <c:v>2026-09-19</c:v>
                </c:pt>
                <c:pt idx="71">
                  <c:v>2026-09-20</c:v>
                </c:pt>
                <c:pt idx="72">
                  <c:v>2026-09-21</c:v>
                </c:pt>
                <c:pt idx="73">
                  <c:v>2026-09-22</c:v>
                </c:pt>
                <c:pt idx="74">
                  <c:v>2026-09-23</c:v>
                </c:pt>
                <c:pt idx="75">
                  <c:v>2026-09-24</c:v>
                </c:pt>
                <c:pt idx="76">
                  <c:v>2026-09-25</c:v>
                </c:pt>
                <c:pt idx="77">
                  <c:v>2026-09-26</c:v>
                </c:pt>
                <c:pt idx="78">
                  <c:v>2026-09-27</c:v>
                </c:pt>
                <c:pt idx="79">
                  <c:v>2026-09-28</c:v>
                </c:pt>
                <c:pt idx="80">
                  <c:v>2026-09-29</c:v>
                </c:pt>
                <c:pt idx="81">
                  <c:v>2026-09-30</c:v>
                </c:pt>
                <c:pt idx="82">
                  <c:v>2026-10-01</c:v>
                </c:pt>
                <c:pt idx="83">
                  <c:v>2026-10-02</c:v>
                </c:pt>
                <c:pt idx="84">
                  <c:v>2026-10-03</c:v>
                </c:pt>
                <c:pt idx="85">
                  <c:v>2026-10-04</c:v>
                </c:pt>
                <c:pt idx="86">
                  <c:v>2026-10-05</c:v>
                </c:pt>
                <c:pt idx="87">
                  <c:v>2026-10-06</c:v>
                </c:pt>
                <c:pt idx="88">
                  <c:v>2026-10-07</c:v>
                </c:pt>
                <c:pt idx="89">
                  <c:v>2026-10-08</c:v>
                </c:pt>
                <c:pt idx="90">
                  <c:v>2026-10-09</c:v>
                </c:pt>
                <c:pt idx="91">
                  <c:v>2026-10-10</c:v>
                </c:pt>
              </c:strCache>
            </c:strRef>
          </c:cat>
          <c:val>
            <c:numRef>
              <c:f>'GSC Daily'!$E$5:$E$96</c:f>
              <c:numCache>
                <c:formatCode>General</c:formatCode>
                <c:ptCount val="92"/>
                <c:pt idx="0">
                  <c:v>24.2</c:v>
                </c:pt>
                <c:pt idx="1">
                  <c:v>20</c:v>
                </c:pt>
                <c:pt idx="2">
                  <c:v>20.5</c:v>
                </c:pt>
                <c:pt idx="3">
                  <c:v>15.3</c:v>
                </c:pt>
                <c:pt idx="4">
                  <c:v>23.3</c:v>
                </c:pt>
                <c:pt idx="5">
                  <c:v>24.1</c:v>
                </c:pt>
                <c:pt idx="6">
                  <c:v>25</c:v>
                </c:pt>
                <c:pt idx="7">
                  <c:v>22.1</c:v>
                </c:pt>
                <c:pt idx="8">
                  <c:v>20.8</c:v>
                </c:pt>
                <c:pt idx="9">
                  <c:v>21.5</c:v>
                </c:pt>
                <c:pt idx="10">
                  <c:v>19.1</c:v>
                </c:pt>
                <c:pt idx="11">
                  <c:v>20.4</c:v>
                </c:pt>
                <c:pt idx="12">
                  <c:v>17.9</c:v>
                </c:pt>
                <c:pt idx="13">
                  <c:v>23.5</c:v>
                </c:pt>
                <c:pt idx="14">
                  <c:v>23.3</c:v>
                </c:pt>
                <c:pt idx="15">
                  <c:v>17.4</c:v>
                </c:pt>
                <c:pt idx="16">
                  <c:v>19.2</c:v>
                </c:pt>
                <c:pt idx="17">
                  <c:v>23.4</c:v>
                </c:pt>
                <c:pt idx="18">
                  <c:v>21.6</c:v>
                </c:pt>
                <c:pt idx="19">
                  <c:v>24</c:v>
                </c:pt>
                <c:pt idx="20">
                  <c:v>23.3</c:v>
                </c:pt>
                <c:pt idx="21">
                  <c:v>29.3</c:v>
                </c:pt>
                <c:pt idx="22">
                  <c:v>21.8</c:v>
                </c:pt>
                <c:pt idx="23">
                  <c:v>23.1</c:v>
                </c:pt>
                <c:pt idx="24">
                  <c:v>18.4</c:v>
                </c:pt>
                <c:pt idx="25">
                  <c:v>19.2</c:v>
                </c:pt>
                <c:pt idx="26">
                  <c:v>19.9</c:v>
                </c:pt>
                <c:pt idx="27">
                  <c:v>15.7</c:v>
                </c:pt>
                <c:pt idx="28">
                  <c:v>19</c:v>
                </c:pt>
                <c:pt idx="29">
                  <c:v>18.4</c:v>
                </c:pt>
                <c:pt idx="30">
                  <c:v>17</c:v>
                </c:pt>
                <c:pt idx="31">
                  <c:v>15.8</c:v>
                </c:pt>
                <c:pt idx="32">
                  <c:v>18.6</c:v>
                </c:pt>
                <c:pt idx="33">
                  <c:v>20.1</c:v>
                </c:pt>
                <c:pt idx="34">
                  <c:v>18.8</c:v>
                </c:pt>
                <c:pt idx="35">
                  <c:v>22.9</c:v>
                </c:pt>
                <c:pt idx="36">
                  <c:v>18.1</c:v>
                </c:pt>
                <c:pt idx="37">
                  <c:v>18.2</c:v>
                </c:pt>
                <c:pt idx="38">
                  <c:v>16.8</c:v>
                </c:pt>
                <c:pt idx="39">
                  <c:v>14.4</c:v>
                </c:pt>
                <c:pt idx="40">
                  <c:v>17.3</c:v>
                </c:pt>
                <c:pt idx="41">
                  <c:v>19.7</c:v>
                </c:pt>
                <c:pt idx="42">
                  <c:v>25.4</c:v>
                </c:pt>
                <c:pt idx="43">
                  <c:v>18.2</c:v>
                </c:pt>
                <c:pt idx="44">
                  <c:v>16.7</c:v>
                </c:pt>
                <c:pt idx="45">
                  <c:v>16.9</c:v>
                </c:pt>
                <c:pt idx="46">
                  <c:v>19.5</c:v>
                </c:pt>
                <c:pt idx="47">
                  <c:v>20.4</c:v>
                </c:pt>
                <c:pt idx="48">
                  <c:v>21.6</c:v>
                </c:pt>
                <c:pt idx="49">
                  <c:v>23.3</c:v>
                </c:pt>
                <c:pt idx="50">
                  <c:v>28.1</c:v>
                </c:pt>
                <c:pt idx="51">
                  <c:v>22.6</c:v>
                </c:pt>
                <c:pt idx="52">
                  <c:v>16.3</c:v>
                </c:pt>
                <c:pt idx="53">
                  <c:v>15.6</c:v>
                </c:pt>
                <c:pt idx="54">
                  <c:v>15.2</c:v>
                </c:pt>
                <c:pt idx="55">
                  <c:v>14.5</c:v>
                </c:pt>
                <c:pt idx="56">
                  <c:v>16.1</c:v>
                </c:pt>
                <c:pt idx="57">
                  <c:v>13.2</c:v>
                </c:pt>
                <c:pt idx="58">
                  <c:v>12.6</c:v>
                </c:pt>
                <c:pt idx="59">
                  <c:v>14.2</c:v>
                </c:pt>
                <c:pt idx="60">
                  <c:v>15.7</c:v>
                </c:pt>
                <c:pt idx="61">
                  <c:v>10.8</c:v>
                </c:pt>
                <c:pt idx="62">
                  <c:v>15.5</c:v>
                </c:pt>
                <c:pt idx="63">
                  <c:v>18.2</c:v>
                </c:pt>
                <c:pt idx="64">
                  <c:v>16.4</c:v>
                </c:pt>
                <c:pt idx="65">
                  <c:v>15.8</c:v>
                </c:pt>
                <c:pt idx="66">
                  <c:v>12.3</c:v>
                </c:pt>
                <c:pt idx="67">
                  <c:v>11.4</c:v>
                </c:pt>
                <c:pt idx="68">
                  <c:v>10.6</c:v>
                </c:pt>
                <c:pt idx="69">
                  <c:v>11.6</c:v>
                </c:pt>
                <c:pt idx="70">
                  <c:v>12.1</c:v>
                </c:pt>
                <c:pt idx="71">
                  <c:v>12.5</c:v>
                </c:pt>
                <c:pt idx="72">
                  <c:v>8.5</c:v>
                </c:pt>
                <c:pt idx="73">
                  <c:v>9.2</c:v>
                </c:pt>
                <c:pt idx="74">
                  <c:v>9.8</c:v>
                </c:pt>
                <c:pt idx="75">
                  <c:v>9.7</c:v>
                </c:pt>
                <c:pt idx="76">
                  <c:v>11.8</c:v>
                </c:pt>
                <c:pt idx="77">
                  <c:v>11.4</c:v>
                </c:pt>
                <c:pt idx="78">
                  <c:v>11.3</c:v>
                </c:pt>
                <c:pt idx="79">
                  <c:v>10.5</c:v>
                </c:pt>
                <c:pt idx="80">
                  <c:v>9.2</c:v>
                </c:pt>
                <c:pt idx="81">
                  <c:v>9.7</c:v>
                </c:pt>
                <c:pt idx="82">
                  <c:v>9.7</c:v>
                </c:pt>
                <c:pt idx="83">
                  <c:v>13.5</c:v>
                </c:pt>
                <c:pt idx="84">
                  <c:v>13.9</c:v>
                </c:pt>
                <c:pt idx="85">
                  <c:v>13.7</c:v>
                </c:pt>
                <c:pt idx="86">
                  <c:v>11.5</c:v>
                </c:pt>
                <c:pt idx="87">
                  <c:v>11.1</c:v>
                </c:pt>
                <c:pt idx="88">
                  <c:v>11.2</c:v>
                </c:pt>
                <c:pt idx="89">
                  <c:v>11.3</c:v>
                </c:pt>
                <c:pt idx="90">
                  <c:v>12</c:v>
                </c:pt>
                <c:pt idx="91">
                  <c:v>14.5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017951"/>
        <c:axId val="38289114"/>
      </c:lineChart>
      <c:catAx>
        <c:axId val="64017951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89114"/>
        <c:crosses val="max"/>
        <c:auto val="1"/>
        <c:lblAlgn val="ctr"/>
        <c:lblOffset val="100"/>
        <c:noMultiLvlLbl val="0"/>
      </c:catAx>
      <c:valAx>
        <c:axId val="3828911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17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134640</xdr:rowOff>
    </xdr:from>
    <xdr:to>
      <xdr:col>3</xdr:col>
      <xdr:colOff>402840</xdr:colOff>
      <xdr:row>45</xdr:row>
      <xdr:rowOff>177840</xdr:rowOff>
    </xdr:to>
    <xdr:graphicFrame>
      <xdr:nvGraphicFramePr>
        <xdr:cNvPr id="0" name="Chart 1"/>
        <xdr:cNvGraphicFramePr/>
      </xdr:nvGraphicFramePr>
      <xdr:xfrm>
        <a:off x="0" y="6667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32</xdr:row>
      <xdr:rowOff>134640</xdr:rowOff>
    </xdr:from>
    <xdr:to>
      <xdr:col>12</xdr:col>
      <xdr:colOff>25560</xdr:colOff>
      <xdr:row>45</xdr:row>
      <xdr:rowOff>177840</xdr:rowOff>
    </xdr:to>
    <xdr:graphicFrame>
      <xdr:nvGraphicFramePr>
        <xdr:cNvPr id="1" name="Chart 2"/>
        <xdr:cNvGraphicFramePr/>
      </xdr:nvGraphicFramePr>
      <xdr:xfrm>
        <a:off x="7894440" y="6667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10" min="8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G6" s="3" t="s">
        <v>5</v>
      </c>
    </row>
    <row r="7" customFormat="false" ht="15" hidden="false" customHeight="false" outlineLevel="0" collapsed="false">
      <c r="A7" s="6" t="s">
        <v>6</v>
      </c>
      <c r="B7" s="7" t="n">
        <f aca="false">SUM('GSC Daily'!B5:B96)</f>
        <v>886</v>
      </c>
      <c r="G7" s="8" t="s">
        <v>7</v>
      </c>
      <c r="H7" s="8" t="s">
        <v>8</v>
      </c>
      <c r="I7" s="8" t="s">
        <v>9</v>
      </c>
      <c r="J7" s="8" t="s">
        <v>10</v>
      </c>
    </row>
    <row r="8" customFormat="false" ht="15" hidden="false" customHeight="false" outlineLevel="0" collapsed="false">
      <c r="A8" s="9" t="s">
        <v>11</v>
      </c>
      <c r="B8" s="10" t="n">
        <f aca="false">SUM('GSC Daily'!C5:C96)</f>
        <v>31342</v>
      </c>
      <c r="G8" s="6" t="s">
        <v>12</v>
      </c>
      <c r="H8" s="11" t="n">
        <f aca="false">SUMIFS('GSC Daily'!B5:B96,'GSC Daily'!F5:F96,G8)</f>
        <v>163</v>
      </c>
      <c r="I8" s="11" t="n">
        <f aca="false">SUMIFS('GSC Daily'!C5:C96,'GSC Daily'!F5:F96,G8)</f>
        <v>5991</v>
      </c>
      <c r="J8" s="12" t="n">
        <f aca="false">SUMPRODUCT(('GSC Daily'!F5:F96=G8)*'GSC Daily'!E5:E96*'GSC Daily'!C5:C96)/I8</f>
        <v>21.4369387414455</v>
      </c>
    </row>
    <row r="9" customFormat="false" ht="15" hidden="false" customHeight="false" outlineLevel="0" collapsed="false">
      <c r="A9" s="6" t="s">
        <v>13</v>
      </c>
      <c r="B9" s="13" t="n">
        <f aca="false">B7/B8</f>
        <v>0.0282687767213324</v>
      </c>
      <c r="G9" s="6" t="s">
        <v>14</v>
      </c>
      <c r="H9" s="11" t="n">
        <f aca="false">SUMIFS('GSC Daily'!B5:B96,'GSC Daily'!F5:F96,G9)</f>
        <v>312</v>
      </c>
      <c r="I9" s="11" t="n">
        <f aca="false">SUMIFS('GSC Daily'!C5:C96,'GSC Daily'!F5:F96,G9)</f>
        <v>10954</v>
      </c>
      <c r="J9" s="12" t="n">
        <f aca="false">SUMPRODUCT(('GSC Daily'!F5:F96=G9)*'GSC Daily'!E5:E96*'GSC Daily'!C5:C96)/I9</f>
        <v>19.3924502464853</v>
      </c>
    </row>
    <row r="10" customFormat="false" ht="15" hidden="false" customHeight="false" outlineLevel="0" collapsed="false">
      <c r="A10" s="9" t="s">
        <v>15</v>
      </c>
      <c r="B10" s="14" t="n">
        <f aca="false">SUMPRODUCT('GSC Daily'!E5:E34,'GSC Daily'!C5:C34)/SUM('GSC Daily'!C5:C34)</f>
        <v>20.9305680982884</v>
      </c>
      <c r="G10" s="6" t="s">
        <v>16</v>
      </c>
      <c r="H10" s="11" t="n">
        <f aca="false">SUMIFS('GSC Daily'!B5:B96,'GSC Daily'!F5:F96,G10)</f>
        <v>313</v>
      </c>
      <c r="I10" s="11" t="n">
        <f aca="false">SUMIFS('GSC Daily'!C5:C96,'GSC Daily'!F5:F96,G10)</f>
        <v>11155</v>
      </c>
      <c r="J10" s="12" t="n">
        <f aca="false">SUMPRODUCT(('GSC Daily'!F5:F96=G10)*'GSC Daily'!E5:E96*'GSC Daily'!C5:C96)/I10</f>
        <v>12.4368713581354</v>
      </c>
    </row>
    <row r="11" customFormat="false" ht="15" hidden="false" customHeight="false" outlineLevel="0" collapsed="false">
      <c r="A11" s="6" t="s">
        <v>17</v>
      </c>
      <c r="B11" s="15" t="n">
        <f aca="false">SUMPRODUCT('GSC Daily'!E67:E96,'GSC Daily'!C67:C96)/SUM('GSC Daily'!C67:C96)</f>
        <v>11.6292584606731</v>
      </c>
      <c r="G11" s="6" t="s">
        <v>18</v>
      </c>
      <c r="H11" s="11" t="n">
        <f aca="false">SUMIFS('GSC Daily'!B5:B96,'GSC Daily'!F5:F96,G11)</f>
        <v>98</v>
      </c>
      <c r="I11" s="11" t="n">
        <f aca="false">SUMIFS('GSC Daily'!C5:C96,'GSC Daily'!F5:F96,G11)</f>
        <v>3242</v>
      </c>
      <c r="J11" s="12" t="n">
        <f aca="false">SUMPRODUCT(('GSC Daily'!F5:F96=G11)*'GSC Daily'!E5:E96*'GSC Daily'!C5:C96)/I11</f>
        <v>12.0028069093152</v>
      </c>
    </row>
    <row r="12" customFormat="false" ht="15" hidden="false" customHeight="false" outlineLevel="0" collapsed="false">
      <c r="A12" s="9" t="s">
        <v>19</v>
      </c>
      <c r="B12" s="10" t="n">
        <f aca="false">SUMIFS('Page Opportunities'!C:C,'Page Opportunities'!B:B,"Brand / sitelink")</f>
        <v>779</v>
      </c>
      <c r="G12" s="16" t="s">
        <v>20</v>
      </c>
    </row>
    <row r="13" customFormat="false" ht="15" hidden="false" customHeight="false" outlineLevel="0" collapsed="false">
      <c r="A13" s="6" t="s">
        <v>21</v>
      </c>
      <c r="B13" s="17" t="n">
        <f aca="false">B12/SUM('Page Opportunities'!C:C)</f>
        <v>0.865555555555556</v>
      </c>
    </row>
    <row r="14" customFormat="false" ht="15" hidden="false" customHeight="false" outlineLevel="0" collapsed="false">
      <c r="A14" s="9" t="s">
        <v>22</v>
      </c>
      <c r="B14" s="10" t="n">
        <f aca="false">SUMIFS('Page Opportunities'!D:D,'Page Opportunities'!A:A,"*/resources/*")</f>
        <v>25411</v>
      </c>
      <c r="G14" s="3" t="s">
        <v>23</v>
      </c>
    </row>
    <row r="15" customFormat="false" ht="15" hidden="false" customHeight="false" outlineLevel="0" collapsed="false">
      <c r="A15" s="6" t="s">
        <v>24</v>
      </c>
      <c r="B15" s="7" t="n">
        <f aca="false">SUMIFS('Page Opportunities'!C:C,'Page Opportunities'!A:A,"*/resources/*")</f>
        <v>77</v>
      </c>
      <c r="G15" s="8" t="s">
        <v>25</v>
      </c>
      <c r="H15" s="8" t="s">
        <v>8</v>
      </c>
      <c r="I15" s="8" t="s">
        <v>9</v>
      </c>
      <c r="J15" s="8" t="s">
        <v>26</v>
      </c>
    </row>
    <row r="16" customFormat="false" ht="15" hidden="false" customHeight="false" outlineLevel="0" collapsed="false">
      <c r="A16" s="9" t="s">
        <v>27</v>
      </c>
      <c r="B16" s="18" t="n">
        <f aca="false">B15/B14</f>
        <v>0.00303018377867853</v>
      </c>
      <c r="G16" s="6" t="s">
        <v>28</v>
      </c>
      <c r="H16" s="6" t="n">
        <v>698</v>
      </c>
      <c r="I16" s="6" t="n">
        <v>26079</v>
      </c>
      <c r="J16" s="19" t="n">
        <f aca="false">IFERROR(H16/I16,0)</f>
        <v>0.0267648299397983</v>
      </c>
    </row>
    <row r="17" customFormat="false" ht="15" hidden="false" customHeight="false" outlineLevel="0" collapsed="false">
      <c r="A17" s="6" t="s">
        <v>29</v>
      </c>
      <c r="B17" s="17" t="n">
        <f aca="false">INDEX('GSC Countries'!B5:B163,MATCH("United Kingdom",'GSC Countries'!A5:A163,0))/SUM('GSC Countries'!B5:B163)</f>
        <v>0.376975169300226</v>
      </c>
      <c r="G17" s="6" t="s">
        <v>30</v>
      </c>
      <c r="H17" s="6" t="n">
        <v>187</v>
      </c>
      <c r="I17" s="6" t="n">
        <v>5161</v>
      </c>
      <c r="J17" s="19" t="n">
        <f aca="false">IFERROR(H17/I17,0)</f>
        <v>0.0362332881224569</v>
      </c>
    </row>
    <row r="18" customFormat="false" ht="15" hidden="false" customHeight="false" outlineLevel="0" collapsed="false">
      <c r="A18" s="9" t="s">
        <v>31</v>
      </c>
      <c r="B18" s="20" t="n">
        <f aca="false">INDEX('GSC Countries'!C5:C163,MATCH("United States",'GSC Countries'!A5:A163,0))/SUM('GSC Countries'!C5:C163)</f>
        <v>0.479707740412226</v>
      </c>
      <c r="G18" s="6" t="s">
        <v>32</v>
      </c>
      <c r="H18" s="6" t="n">
        <v>1</v>
      </c>
      <c r="I18" s="6" t="n">
        <v>102</v>
      </c>
      <c r="J18" s="19" t="n">
        <f aca="false">IFERROR(H18/I18,0)</f>
        <v>0.00980392156862745</v>
      </c>
    </row>
    <row r="19" customFormat="false" ht="15" hidden="false" customHeight="false" outlineLevel="0" collapsed="false">
      <c r="A19" s="6" t="s">
        <v>33</v>
      </c>
      <c r="B19" s="13" t="n">
        <f aca="false">INDEX('GSC Countries'!D5:D163,MATCH("United States",'GSC Countries'!A5:A163,0))</f>
        <v>0.00758230794812105</v>
      </c>
    </row>
    <row r="20" customFormat="false" ht="15" hidden="false" customHeight="false" outlineLevel="0" collapsed="false">
      <c r="A20" s="9" t="s">
        <v>34</v>
      </c>
      <c r="B20" s="21" t="n">
        <f aca="false">SUMPRODUCT(1/COUNTIF('Semrush Keywords'!A5:A100,'Semrush Keywords'!A5:A100))</f>
        <v>65</v>
      </c>
    </row>
    <row r="21" customFormat="false" ht="15" hidden="false" customHeight="false" outlineLevel="0" collapsed="false">
      <c r="A21" s="6" t="s">
        <v>35</v>
      </c>
      <c r="B21" s="7" t="n">
        <f aca="false">SUM('Page Opportunities'!J:J)</f>
        <v>299</v>
      </c>
      <c r="C21" s="16" t="s">
        <v>36</v>
      </c>
      <c r="G21" s="3" t="s">
        <v>37</v>
      </c>
    </row>
    <row r="22" customFormat="false" ht="15" hidden="false" customHeight="false" outlineLevel="0" collapsed="false">
      <c r="G22" s="8" t="s">
        <v>38</v>
      </c>
      <c r="H22" s="8" t="s">
        <v>8</v>
      </c>
      <c r="I22" s="8" t="s">
        <v>9</v>
      </c>
      <c r="J22" s="8" t="s">
        <v>26</v>
      </c>
    </row>
    <row r="23" customFormat="false" ht="15" hidden="false" customHeight="false" outlineLevel="0" collapsed="false">
      <c r="A23" s="3" t="s">
        <v>39</v>
      </c>
      <c r="G23" s="6" t="str">
        <f aca="false">'GSC Countries'!A5</f>
        <v>United Kingdom</v>
      </c>
      <c r="H23" s="6" t="n">
        <f aca="false">'GSC Countries'!B5</f>
        <v>334</v>
      </c>
      <c r="I23" s="6" t="n">
        <f aca="false">'GSC Countries'!C5</f>
        <v>3419</v>
      </c>
      <c r="J23" s="19" t="n">
        <f aca="false">'GSC Countries'!D5</f>
        <v>0.0976893828604855</v>
      </c>
    </row>
    <row r="24" customFormat="false" ht="15" hidden="false" customHeight="true" outlineLevel="0" collapsed="false">
      <c r="A24" s="22" t="s">
        <v>40</v>
      </c>
      <c r="B24" s="22" t="s">
        <v>41</v>
      </c>
      <c r="C24" s="22" t="s">
        <v>42</v>
      </c>
      <c r="D24" s="22"/>
      <c r="E24" s="22"/>
      <c r="G24" s="6" t="str">
        <f aca="false">'GSC Countries'!A6</f>
        <v>Philippines</v>
      </c>
      <c r="H24" s="6" t="n">
        <f aca="false">'GSC Countries'!B6</f>
        <v>142</v>
      </c>
      <c r="I24" s="6" t="n">
        <f aca="false">'GSC Countries'!C6</f>
        <v>1462</v>
      </c>
      <c r="J24" s="19" t="n">
        <f aca="false">'GSC Countries'!D6</f>
        <v>0.0971272229822161</v>
      </c>
    </row>
    <row r="25" customFormat="false" ht="22.35" hidden="false" customHeight="true" outlineLevel="0" collapsed="false">
      <c r="A25" s="23" t="s">
        <v>43</v>
      </c>
      <c r="B25" s="24" t="s">
        <v>44</v>
      </c>
      <c r="C25" s="23" t="s">
        <v>45</v>
      </c>
      <c r="D25" s="23"/>
      <c r="E25" s="23"/>
      <c r="G25" s="6" t="str">
        <f aca="false">'GSC Countries'!A7</f>
        <v>United States</v>
      </c>
      <c r="H25" s="6" t="n">
        <f aca="false">'GSC Countries'!B7</f>
        <v>114</v>
      </c>
      <c r="I25" s="6" t="n">
        <f aca="false">'GSC Countries'!C7</f>
        <v>15035</v>
      </c>
      <c r="J25" s="19" t="n">
        <f aca="false">'GSC Countries'!D7</f>
        <v>0.00758230794812105</v>
      </c>
    </row>
    <row r="26" customFormat="false" ht="22.35" hidden="false" customHeight="true" outlineLevel="0" collapsed="false">
      <c r="A26" s="23" t="s">
        <v>46</v>
      </c>
      <c r="B26" s="24" t="s">
        <v>47</v>
      </c>
      <c r="C26" s="23" t="s">
        <v>48</v>
      </c>
      <c r="D26" s="23"/>
      <c r="E26" s="23"/>
      <c r="G26" s="6" t="str">
        <f aca="false">'GSC Countries'!A8</f>
        <v>South Africa</v>
      </c>
      <c r="H26" s="6" t="n">
        <f aca="false">'GSC Countries'!B8</f>
        <v>46</v>
      </c>
      <c r="I26" s="6" t="n">
        <f aca="false">'GSC Countries'!C8</f>
        <v>162</v>
      </c>
      <c r="J26" s="19" t="n">
        <f aca="false">'GSC Countries'!D8</f>
        <v>0.283950617283951</v>
      </c>
    </row>
    <row r="27" customFormat="false" ht="15" hidden="false" customHeight="true" outlineLevel="0" collapsed="false">
      <c r="A27" s="23" t="s">
        <v>49</v>
      </c>
      <c r="B27" s="24" t="s">
        <v>50</v>
      </c>
      <c r="C27" s="23" t="s">
        <v>51</v>
      </c>
      <c r="D27" s="23"/>
      <c r="E27" s="23"/>
      <c r="G27" s="6" t="str">
        <f aca="false">'GSC Countries'!A9</f>
        <v>India</v>
      </c>
      <c r="H27" s="6" t="n">
        <f aca="false">'GSC Countries'!B9</f>
        <v>24</v>
      </c>
      <c r="I27" s="6" t="n">
        <f aca="false">'GSC Countries'!C9</f>
        <v>1235</v>
      </c>
      <c r="J27" s="19" t="n">
        <f aca="false">'GSC Countries'!D9</f>
        <v>0.0194331983805668</v>
      </c>
    </row>
    <row r="28" customFormat="false" ht="15" hidden="false" customHeight="true" outlineLevel="0" collapsed="false">
      <c r="A28" s="23" t="s">
        <v>52</v>
      </c>
      <c r="B28" s="24" t="s">
        <v>50</v>
      </c>
      <c r="C28" s="23" t="s">
        <v>53</v>
      </c>
      <c r="D28" s="23"/>
      <c r="E28" s="23"/>
      <c r="G28" s="6" t="str">
        <f aca="false">'GSC Countries'!A10</f>
        <v>Sweden</v>
      </c>
      <c r="H28" s="6" t="n">
        <f aca="false">'GSC Countries'!B10</f>
        <v>22</v>
      </c>
      <c r="I28" s="6" t="n">
        <f aca="false">'GSC Countries'!C10</f>
        <v>128</v>
      </c>
      <c r="J28" s="19" t="n">
        <f aca="false">'GSC Countries'!D10</f>
        <v>0.171875</v>
      </c>
    </row>
    <row r="29" customFormat="false" ht="15" hidden="false" customHeight="true" outlineLevel="0" collapsed="false">
      <c r="A29" s="23" t="s">
        <v>54</v>
      </c>
      <c r="B29" s="24" t="s">
        <v>47</v>
      </c>
      <c r="C29" s="23" t="s">
        <v>55</v>
      </c>
      <c r="D29" s="23"/>
      <c r="E29" s="23"/>
      <c r="G29" s="6" t="str">
        <f aca="false">'GSC Countries'!A11</f>
        <v>Netherlands</v>
      </c>
      <c r="H29" s="6" t="n">
        <f aca="false">'GSC Countries'!B11</f>
        <v>16</v>
      </c>
      <c r="I29" s="6" t="n">
        <f aca="false">'GSC Countries'!C11</f>
        <v>984</v>
      </c>
      <c r="J29" s="19" t="n">
        <f aca="false">'GSC Countries'!D11</f>
        <v>0.016260162601626</v>
      </c>
    </row>
    <row r="30" customFormat="false" ht="15" hidden="false" customHeight="true" outlineLevel="0" collapsed="false">
      <c r="A30" s="23" t="s">
        <v>56</v>
      </c>
      <c r="B30" s="24" t="s">
        <v>50</v>
      </c>
      <c r="C30" s="23" t="s">
        <v>57</v>
      </c>
      <c r="D30" s="23"/>
      <c r="E30" s="23"/>
      <c r="G30" s="6" t="str">
        <f aca="false">'GSC Countries'!A12</f>
        <v>Germany</v>
      </c>
      <c r="H30" s="6" t="n">
        <f aca="false">'GSC Countries'!B12</f>
        <v>14</v>
      </c>
      <c r="I30" s="6" t="n">
        <f aca="false">'GSC Countries'!C12</f>
        <v>1190</v>
      </c>
      <c r="J30" s="19" t="n">
        <f aca="false">'GSC Countries'!D12</f>
        <v>0.0117647058823529</v>
      </c>
    </row>
    <row r="31" customFormat="false" ht="15" hidden="false" customHeight="true" outlineLevel="0" collapsed="false">
      <c r="A31" s="23" t="s">
        <v>58</v>
      </c>
      <c r="B31" s="24" t="s">
        <v>50</v>
      </c>
      <c r="C31" s="23" t="s">
        <v>59</v>
      </c>
      <c r="D31" s="23"/>
      <c r="E31" s="23"/>
    </row>
    <row r="32" customFormat="false" ht="15" hidden="false" customHeight="true" outlineLevel="0" collapsed="false">
      <c r="A32" s="23" t="s">
        <v>60</v>
      </c>
      <c r="B32" s="24" t="s">
        <v>47</v>
      </c>
      <c r="C32" s="23" t="s">
        <v>61</v>
      </c>
      <c r="D32" s="23"/>
      <c r="E32" s="23"/>
    </row>
  </sheetData>
  <mergeCells count="10">
    <mergeCell ref="A5:J5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</mergeCells>
  <conditionalFormatting sqref="B25:B3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"Needs work"</formula>
    </cfRule>
    <cfRule type="cellIs" priority="4" operator="equal" aboveAverage="0" equalAverage="0" bottom="0" percent="0" rank="0" text="" dxfId="2">
      <formula>"Good"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2"/>
  </cols>
  <sheetData>
    <row r="1" customFormat="false" ht="19.7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25" t="s">
        <v>64</v>
      </c>
      <c r="B4" s="25" t="s">
        <v>40</v>
      </c>
      <c r="C4" s="25" t="s">
        <v>65</v>
      </c>
      <c r="D4" s="25" t="s">
        <v>66</v>
      </c>
      <c r="E4" s="25" t="s">
        <v>67</v>
      </c>
      <c r="F4" s="25" t="s">
        <v>68</v>
      </c>
      <c r="G4" s="25" t="s">
        <v>69</v>
      </c>
      <c r="H4" s="25" t="s">
        <v>70</v>
      </c>
      <c r="I4" s="25" t="s">
        <v>71</v>
      </c>
      <c r="J4" s="25" t="s">
        <v>72</v>
      </c>
      <c r="K4" s="25" t="s">
        <v>73</v>
      </c>
    </row>
    <row r="5" customFormat="false" ht="32.8" hidden="false" customHeight="false" outlineLevel="0" collapsed="false">
      <c r="A5" s="23" t="s">
        <v>74</v>
      </c>
      <c r="B5" s="23" t="s">
        <v>75</v>
      </c>
      <c r="C5" s="23" t="s">
        <v>50</v>
      </c>
      <c r="D5" s="23" t="s">
        <v>57</v>
      </c>
      <c r="E5" s="23" t="s">
        <v>76</v>
      </c>
      <c r="F5" s="23" t="s">
        <v>77</v>
      </c>
      <c r="G5" s="23" t="s">
        <v>78</v>
      </c>
      <c r="H5" s="23" t="s">
        <v>79</v>
      </c>
      <c r="I5" s="23" t="s">
        <v>80</v>
      </c>
      <c r="J5" s="23"/>
      <c r="K5" s="23" t="s">
        <v>81</v>
      </c>
    </row>
    <row r="6" customFormat="false" ht="22.35" hidden="false" customHeight="false" outlineLevel="0" collapsed="false">
      <c r="A6" s="26" t="s">
        <v>82</v>
      </c>
      <c r="B6" s="26" t="s">
        <v>83</v>
      </c>
      <c r="C6" s="26" t="s">
        <v>50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/>
      <c r="K6" s="26" t="s">
        <v>81</v>
      </c>
    </row>
    <row r="7" customFormat="false" ht="22.35" hidden="false" customHeight="false" outlineLevel="0" collapsed="false">
      <c r="A7" s="23" t="s">
        <v>90</v>
      </c>
      <c r="B7" s="23" t="s">
        <v>91</v>
      </c>
      <c r="C7" s="23" t="s">
        <v>50</v>
      </c>
      <c r="D7" s="23" t="s">
        <v>92</v>
      </c>
      <c r="E7" s="23" t="s">
        <v>93</v>
      </c>
      <c r="F7" s="23" t="s">
        <v>94</v>
      </c>
      <c r="G7" s="23" t="s">
        <v>95</v>
      </c>
      <c r="H7" s="23" t="s">
        <v>96</v>
      </c>
      <c r="I7" s="23" t="s">
        <v>97</v>
      </c>
      <c r="J7" s="23"/>
      <c r="K7" s="23" t="s">
        <v>81</v>
      </c>
    </row>
    <row r="8" customFormat="false" ht="22.35" hidden="false" customHeight="false" outlineLevel="0" collapsed="false">
      <c r="A8" s="26" t="s">
        <v>98</v>
      </c>
      <c r="B8" s="26" t="s">
        <v>99</v>
      </c>
      <c r="C8" s="26" t="s">
        <v>50</v>
      </c>
      <c r="D8" s="26" t="s">
        <v>100</v>
      </c>
      <c r="E8" s="26" t="s">
        <v>101</v>
      </c>
      <c r="F8" s="26" t="s">
        <v>102</v>
      </c>
      <c r="G8" s="26" t="s">
        <v>103</v>
      </c>
      <c r="H8" s="26" t="s">
        <v>96</v>
      </c>
      <c r="I8" s="26" t="s">
        <v>104</v>
      </c>
      <c r="J8" s="26"/>
      <c r="K8" s="26" t="s">
        <v>81</v>
      </c>
    </row>
    <row r="9" customFormat="false" ht="43.25" hidden="false" customHeight="false" outlineLevel="0" collapsed="false">
      <c r="A9" s="23" t="s">
        <v>105</v>
      </c>
      <c r="B9" s="23" t="s">
        <v>83</v>
      </c>
      <c r="C9" s="23" t="s">
        <v>50</v>
      </c>
      <c r="D9" s="23" t="s">
        <v>106</v>
      </c>
      <c r="E9" s="23" t="s">
        <v>107</v>
      </c>
      <c r="F9" s="23" t="s">
        <v>108</v>
      </c>
      <c r="G9" s="23" t="s">
        <v>109</v>
      </c>
      <c r="H9" s="23" t="s">
        <v>110</v>
      </c>
      <c r="I9" s="23" t="s">
        <v>111</v>
      </c>
      <c r="J9" s="23"/>
      <c r="K9" s="23" t="s">
        <v>81</v>
      </c>
    </row>
    <row r="10" customFormat="false" ht="22.35" hidden="false" customHeight="false" outlineLevel="0" collapsed="false">
      <c r="A10" s="26" t="s">
        <v>112</v>
      </c>
      <c r="B10" s="26" t="s">
        <v>113</v>
      </c>
      <c r="C10" s="26" t="s">
        <v>50</v>
      </c>
      <c r="D10" s="26" t="s">
        <v>114</v>
      </c>
      <c r="E10" s="26" t="s">
        <v>115</v>
      </c>
      <c r="F10" s="26" t="s">
        <v>116</v>
      </c>
      <c r="G10" s="26" t="s">
        <v>117</v>
      </c>
      <c r="H10" s="26" t="s">
        <v>118</v>
      </c>
      <c r="I10" s="26" t="s">
        <v>119</v>
      </c>
      <c r="J10" s="26"/>
      <c r="K10" s="26" t="s">
        <v>81</v>
      </c>
    </row>
    <row r="11" customFormat="false" ht="32.8" hidden="false" customHeight="false" outlineLevel="0" collapsed="false">
      <c r="A11" s="23" t="s">
        <v>120</v>
      </c>
      <c r="B11" s="23" t="s">
        <v>121</v>
      </c>
      <c r="C11" s="23" t="s">
        <v>50</v>
      </c>
      <c r="D11" s="23" t="s">
        <v>122</v>
      </c>
      <c r="E11" s="23" t="s">
        <v>123</v>
      </c>
      <c r="F11" s="23" t="s">
        <v>124</v>
      </c>
      <c r="G11" s="23" t="s">
        <v>125</v>
      </c>
      <c r="H11" s="23" t="s">
        <v>126</v>
      </c>
      <c r="I11" s="23" t="s">
        <v>127</v>
      </c>
      <c r="J11" s="23"/>
      <c r="K11" s="23" t="s">
        <v>81</v>
      </c>
    </row>
    <row r="12" customFormat="false" ht="22.35" hidden="false" customHeight="false" outlineLevel="0" collapsed="false">
      <c r="A12" s="26" t="s">
        <v>128</v>
      </c>
      <c r="B12" s="26" t="s">
        <v>113</v>
      </c>
      <c r="C12" s="26" t="s">
        <v>129</v>
      </c>
      <c r="D12" s="26" t="s">
        <v>130</v>
      </c>
      <c r="E12" s="26" t="s">
        <v>131</v>
      </c>
      <c r="F12" s="26" t="s">
        <v>132</v>
      </c>
      <c r="G12" s="26" t="s">
        <v>133</v>
      </c>
      <c r="H12" s="26" t="s">
        <v>134</v>
      </c>
      <c r="I12" s="26" t="s">
        <v>135</v>
      </c>
      <c r="J12" s="26"/>
      <c r="K12" s="26" t="s">
        <v>81</v>
      </c>
    </row>
    <row r="13" customFormat="false" ht="32.8" hidden="false" customHeight="false" outlineLevel="0" collapsed="false">
      <c r="A13" s="23" t="s">
        <v>136</v>
      </c>
      <c r="B13" s="23" t="s">
        <v>113</v>
      </c>
      <c r="C13" s="23" t="s">
        <v>129</v>
      </c>
      <c r="D13" s="23" t="s">
        <v>137</v>
      </c>
      <c r="E13" s="23" t="s">
        <v>138</v>
      </c>
      <c r="F13" s="23" t="s">
        <v>139</v>
      </c>
      <c r="G13" s="23" t="s">
        <v>140</v>
      </c>
      <c r="H13" s="23" t="s">
        <v>134</v>
      </c>
      <c r="I13" s="23" t="s">
        <v>135</v>
      </c>
      <c r="J13" s="23"/>
      <c r="K13" s="23" t="s">
        <v>81</v>
      </c>
    </row>
    <row r="14" customFormat="false" ht="32.8" hidden="false" customHeight="false" outlineLevel="0" collapsed="false">
      <c r="A14" s="26" t="s">
        <v>141</v>
      </c>
      <c r="B14" s="26" t="s">
        <v>113</v>
      </c>
      <c r="C14" s="26" t="s">
        <v>129</v>
      </c>
      <c r="D14" s="26" t="s">
        <v>142</v>
      </c>
      <c r="E14" s="26" t="s">
        <v>143</v>
      </c>
      <c r="F14" s="26" t="s">
        <v>144</v>
      </c>
      <c r="G14" s="26" t="s">
        <v>145</v>
      </c>
      <c r="H14" s="26" t="s">
        <v>88</v>
      </c>
      <c r="I14" s="26" t="s">
        <v>146</v>
      </c>
      <c r="J14" s="26"/>
      <c r="K14" s="26" t="s">
        <v>81</v>
      </c>
    </row>
    <row r="15" customFormat="false" ht="22.35" hidden="false" customHeight="false" outlineLevel="0" collapsed="false">
      <c r="A15" s="23" t="s">
        <v>147</v>
      </c>
      <c r="B15" s="23" t="s">
        <v>113</v>
      </c>
      <c r="C15" s="23" t="s">
        <v>129</v>
      </c>
      <c r="D15" s="23" t="s">
        <v>148</v>
      </c>
      <c r="E15" s="23" t="s">
        <v>149</v>
      </c>
      <c r="F15" s="23" t="s">
        <v>150</v>
      </c>
      <c r="G15" s="23" t="s">
        <v>151</v>
      </c>
      <c r="H15" s="23" t="s">
        <v>152</v>
      </c>
      <c r="I15" s="23" t="s">
        <v>153</v>
      </c>
      <c r="J15" s="23"/>
      <c r="K15" s="23" t="s">
        <v>81</v>
      </c>
    </row>
    <row r="16" customFormat="false" ht="32.8" hidden="false" customHeight="false" outlineLevel="0" collapsed="false">
      <c r="A16" s="26" t="s">
        <v>154</v>
      </c>
      <c r="B16" s="26" t="s">
        <v>83</v>
      </c>
      <c r="C16" s="26" t="s">
        <v>129</v>
      </c>
      <c r="D16" s="26" t="s">
        <v>155</v>
      </c>
      <c r="E16" s="26" t="s">
        <v>156</v>
      </c>
      <c r="F16" s="26" t="s">
        <v>157</v>
      </c>
      <c r="G16" s="26" t="s">
        <v>158</v>
      </c>
      <c r="H16" s="26" t="s">
        <v>159</v>
      </c>
      <c r="I16" s="26" t="s">
        <v>111</v>
      </c>
      <c r="J16" s="26"/>
      <c r="K16" s="26" t="s">
        <v>81</v>
      </c>
    </row>
    <row r="17" customFormat="false" ht="22.35" hidden="false" customHeight="false" outlineLevel="0" collapsed="false">
      <c r="A17" s="23" t="s">
        <v>160</v>
      </c>
      <c r="B17" s="23" t="s">
        <v>161</v>
      </c>
      <c r="C17" s="23" t="s">
        <v>129</v>
      </c>
      <c r="D17" s="23" t="s">
        <v>162</v>
      </c>
      <c r="E17" s="23" t="s">
        <v>163</v>
      </c>
      <c r="F17" s="23" t="s">
        <v>164</v>
      </c>
      <c r="G17" s="23" t="s">
        <v>165</v>
      </c>
      <c r="H17" s="23" t="s">
        <v>88</v>
      </c>
      <c r="I17" s="23" t="s">
        <v>127</v>
      </c>
      <c r="J17" s="23"/>
      <c r="K17" s="23" t="s">
        <v>81</v>
      </c>
    </row>
    <row r="18" customFormat="false" ht="22.35" hidden="false" customHeight="false" outlineLevel="0" collapsed="false">
      <c r="A18" s="26" t="s">
        <v>166</v>
      </c>
      <c r="B18" s="26" t="s">
        <v>167</v>
      </c>
      <c r="C18" s="26" t="s">
        <v>129</v>
      </c>
      <c r="D18" s="26" t="s">
        <v>168</v>
      </c>
      <c r="E18" s="26" t="s">
        <v>169</v>
      </c>
      <c r="F18" s="26" t="s">
        <v>170</v>
      </c>
      <c r="G18" s="26" t="s">
        <v>171</v>
      </c>
      <c r="H18" s="26" t="s">
        <v>96</v>
      </c>
      <c r="I18" s="26" t="s">
        <v>97</v>
      </c>
      <c r="J18" s="26"/>
      <c r="K18" s="26" t="s">
        <v>81</v>
      </c>
    </row>
    <row r="19" customFormat="false" ht="15" hidden="false" customHeight="false" outlineLevel="0" collapsed="false">
      <c r="A19" s="23" t="s">
        <v>172</v>
      </c>
      <c r="B19" s="23" t="s">
        <v>83</v>
      </c>
      <c r="C19" s="23" t="s">
        <v>129</v>
      </c>
      <c r="D19" s="23" t="s">
        <v>173</v>
      </c>
      <c r="E19" s="23" t="s">
        <v>174</v>
      </c>
      <c r="F19" s="23" t="s">
        <v>175</v>
      </c>
      <c r="G19" s="23" t="s">
        <v>176</v>
      </c>
      <c r="H19" s="23" t="s">
        <v>96</v>
      </c>
      <c r="I19" s="23" t="s">
        <v>89</v>
      </c>
      <c r="J19" s="23"/>
      <c r="K19" s="23" t="s">
        <v>81</v>
      </c>
    </row>
    <row r="20" customFormat="false" ht="22.35" hidden="false" customHeight="false" outlineLevel="0" collapsed="false">
      <c r="A20" s="26" t="s">
        <v>177</v>
      </c>
      <c r="B20" s="26" t="s">
        <v>178</v>
      </c>
      <c r="C20" s="26" t="s">
        <v>129</v>
      </c>
      <c r="D20" s="26" t="s">
        <v>179</v>
      </c>
      <c r="E20" s="26" t="s">
        <v>180</v>
      </c>
      <c r="F20" s="26" t="s">
        <v>181</v>
      </c>
      <c r="G20" s="26" t="s">
        <v>182</v>
      </c>
      <c r="H20" s="26" t="s">
        <v>96</v>
      </c>
      <c r="I20" s="26" t="s">
        <v>104</v>
      </c>
      <c r="J20" s="26"/>
      <c r="K20" s="26" t="s">
        <v>81</v>
      </c>
    </row>
    <row r="21" customFormat="false" ht="22.35" hidden="false" customHeight="false" outlineLevel="0" collapsed="false">
      <c r="A21" s="23" t="s">
        <v>183</v>
      </c>
      <c r="B21" s="23" t="s">
        <v>184</v>
      </c>
      <c r="C21" s="23" t="s">
        <v>129</v>
      </c>
      <c r="D21" s="23" t="s">
        <v>185</v>
      </c>
      <c r="E21" s="23" t="s">
        <v>186</v>
      </c>
      <c r="F21" s="23" t="s">
        <v>187</v>
      </c>
      <c r="G21" s="23" t="s">
        <v>188</v>
      </c>
      <c r="H21" s="23" t="s">
        <v>96</v>
      </c>
      <c r="I21" s="23" t="s">
        <v>189</v>
      </c>
      <c r="J21" s="23"/>
      <c r="K21" s="23" t="s">
        <v>81</v>
      </c>
    </row>
    <row r="22" customFormat="false" ht="22.35" hidden="false" customHeight="false" outlineLevel="0" collapsed="false">
      <c r="A22" s="26" t="s">
        <v>190</v>
      </c>
      <c r="B22" s="26" t="s">
        <v>91</v>
      </c>
      <c r="C22" s="26" t="s">
        <v>191</v>
      </c>
      <c r="D22" s="26" t="s">
        <v>192</v>
      </c>
      <c r="E22" s="26" t="s">
        <v>193</v>
      </c>
      <c r="F22" s="26" t="s">
        <v>194</v>
      </c>
      <c r="G22" s="26" t="s">
        <v>195</v>
      </c>
      <c r="H22" s="26" t="s">
        <v>96</v>
      </c>
      <c r="I22" s="26" t="s">
        <v>189</v>
      </c>
      <c r="J22" s="26"/>
      <c r="K22" s="26" t="s">
        <v>81</v>
      </c>
    </row>
    <row r="23" customFormat="false" ht="22.35" hidden="false" customHeight="false" outlineLevel="0" collapsed="false">
      <c r="A23" s="23" t="s">
        <v>196</v>
      </c>
      <c r="B23" s="23" t="s">
        <v>83</v>
      </c>
      <c r="C23" s="23" t="s">
        <v>191</v>
      </c>
      <c r="D23" s="23" t="s">
        <v>197</v>
      </c>
      <c r="E23" s="23" t="s">
        <v>198</v>
      </c>
      <c r="F23" s="23" t="s">
        <v>199</v>
      </c>
      <c r="G23" s="23" t="s">
        <v>200</v>
      </c>
      <c r="H23" s="23" t="s">
        <v>96</v>
      </c>
      <c r="I23" s="23" t="s">
        <v>127</v>
      </c>
      <c r="J23" s="23"/>
      <c r="K23" s="23" t="s">
        <v>81</v>
      </c>
    </row>
    <row r="24" customFormat="false" ht="22.35" hidden="false" customHeight="false" outlineLevel="0" collapsed="false">
      <c r="A24" s="26" t="s">
        <v>201</v>
      </c>
      <c r="B24" s="26" t="s">
        <v>91</v>
      </c>
      <c r="C24" s="26" t="s">
        <v>191</v>
      </c>
      <c r="D24" s="26" t="s">
        <v>202</v>
      </c>
      <c r="E24" s="26" t="s">
        <v>203</v>
      </c>
      <c r="F24" s="26" t="s">
        <v>204</v>
      </c>
      <c r="G24" s="26" t="s">
        <v>205</v>
      </c>
      <c r="H24" s="26" t="s">
        <v>96</v>
      </c>
      <c r="I24" s="26" t="s">
        <v>111</v>
      </c>
      <c r="J24" s="26"/>
      <c r="K24" s="26" t="s">
        <v>81</v>
      </c>
    </row>
    <row r="25" customFormat="false" ht="22.35" hidden="false" customHeight="false" outlineLevel="0" collapsed="false">
      <c r="A25" s="23" t="s">
        <v>206</v>
      </c>
      <c r="B25" s="23" t="s">
        <v>75</v>
      </c>
      <c r="C25" s="23" t="s">
        <v>191</v>
      </c>
      <c r="D25" s="23" t="s">
        <v>207</v>
      </c>
      <c r="E25" s="23" t="s">
        <v>208</v>
      </c>
      <c r="F25" s="23" t="s">
        <v>209</v>
      </c>
      <c r="G25" s="23" t="s">
        <v>210</v>
      </c>
      <c r="H25" s="23" t="s">
        <v>211</v>
      </c>
      <c r="I25" s="23" t="s">
        <v>212</v>
      </c>
      <c r="J25" s="23"/>
      <c r="K25" s="23" t="s">
        <v>81</v>
      </c>
    </row>
    <row r="26" customFormat="false" ht="22.35" hidden="false" customHeight="false" outlineLevel="0" collapsed="false">
      <c r="A26" s="26" t="s">
        <v>213</v>
      </c>
      <c r="B26" s="26" t="s">
        <v>214</v>
      </c>
      <c r="C26" s="26" t="s">
        <v>191</v>
      </c>
      <c r="D26" s="26" t="s">
        <v>215</v>
      </c>
      <c r="E26" s="26" t="s">
        <v>216</v>
      </c>
      <c r="F26" s="26" t="s">
        <v>217</v>
      </c>
      <c r="G26" s="26" t="s">
        <v>218</v>
      </c>
      <c r="H26" s="26" t="s">
        <v>96</v>
      </c>
      <c r="I26" s="26" t="s">
        <v>219</v>
      </c>
      <c r="J26" s="26"/>
      <c r="K26" s="26" t="s">
        <v>81</v>
      </c>
    </row>
    <row r="27" customFormat="false" ht="15" hidden="false" customHeight="false" outlineLevel="0" collapsed="false">
      <c r="A27" s="23" t="s">
        <v>220</v>
      </c>
      <c r="B27" s="23" t="s">
        <v>221</v>
      </c>
      <c r="C27" s="23" t="s">
        <v>222</v>
      </c>
      <c r="D27" s="23" t="s">
        <v>223</v>
      </c>
      <c r="E27" s="23" t="s">
        <v>224</v>
      </c>
      <c r="F27" s="23" t="s">
        <v>225</v>
      </c>
      <c r="G27" s="23" t="s">
        <v>226</v>
      </c>
      <c r="H27" s="23" t="s">
        <v>96</v>
      </c>
      <c r="I27" s="23" t="s">
        <v>153</v>
      </c>
      <c r="J27" s="23"/>
      <c r="K27" s="23" t="s">
        <v>81</v>
      </c>
    </row>
    <row r="28" customFormat="false" ht="22.35" hidden="false" customHeight="false" outlineLevel="0" collapsed="false">
      <c r="A28" s="26" t="s">
        <v>227</v>
      </c>
      <c r="B28" s="26" t="s">
        <v>228</v>
      </c>
      <c r="C28" s="26" t="s">
        <v>222</v>
      </c>
      <c r="D28" s="26" t="s">
        <v>229</v>
      </c>
      <c r="E28" s="26" t="s">
        <v>230</v>
      </c>
      <c r="F28" s="26" t="s">
        <v>231</v>
      </c>
      <c r="G28" s="26" t="s">
        <v>232</v>
      </c>
      <c r="H28" s="26" t="s">
        <v>96</v>
      </c>
      <c r="I28" s="26" t="s">
        <v>153</v>
      </c>
      <c r="J28" s="26"/>
      <c r="K28" s="26" t="s">
        <v>81</v>
      </c>
    </row>
    <row r="29" customFormat="false" ht="15" hidden="false" customHeight="false" outlineLevel="0" collapsed="false">
      <c r="A29" s="23" t="s">
        <v>233</v>
      </c>
      <c r="B29" s="23" t="s">
        <v>228</v>
      </c>
      <c r="C29" s="23" t="s">
        <v>222</v>
      </c>
      <c r="D29" s="23" t="s">
        <v>234</v>
      </c>
      <c r="E29" s="23" t="s">
        <v>235</v>
      </c>
      <c r="F29" s="23" t="s">
        <v>236</v>
      </c>
      <c r="G29" s="23" t="s">
        <v>237</v>
      </c>
      <c r="H29" s="23" t="s">
        <v>96</v>
      </c>
      <c r="I29" s="23" t="s">
        <v>119</v>
      </c>
      <c r="J29" s="23"/>
      <c r="K29" s="23" t="s">
        <v>81</v>
      </c>
    </row>
    <row r="30" customFormat="false" ht="15" hidden="false" customHeight="false" outlineLevel="0" collapsed="false">
      <c r="A30" s="26" t="s">
        <v>238</v>
      </c>
      <c r="B30" s="26" t="s">
        <v>239</v>
      </c>
      <c r="C30" s="26" t="s">
        <v>222</v>
      </c>
      <c r="D30" s="26" t="s">
        <v>240</v>
      </c>
      <c r="E30" s="26" t="s">
        <v>241</v>
      </c>
      <c r="F30" s="26" t="s">
        <v>242</v>
      </c>
      <c r="G30" s="26" t="s">
        <v>243</v>
      </c>
      <c r="H30" s="26" t="s">
        <v>110</v>
      </c>
      <c r="I30" s="26" t="s">
        <v>153</v>
      </c>
      <c r="J30" s="26"/>
      <c r="K30" s="26" t="s">
        <v>81</v>
      </c>
    </row>
  </sheetData>
  <autoFilter ref="A4:K30"/>
  <conditionalFormatting sqref="C5:C30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K5:K30">
    <cfRule type="cellIs" priority="6" operator="equal" aboveAverage="0" equalAverage="0" bottom="0" percent="0" rank="0" text="" dxfId="2">
      <formula>"Done"</formula>
    </cfRule>
    <cfRule type="cellIs" priority="7" operator="equal" aboveAverage="0" equalAverage="0" bottom="0" percent="0" rank="0" text="" dxfId="0">
      <formula>"Blocked"</formula>
    </cfRule>
  </conditionalFormatting>
  <dataValidations count="1">
    <dataValidation allowBlank="true" errorStyle="stop" operator="between" showDropDown="false" showErrorMessage="false" showInputMessage="false" sqref="K5:K3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30" hidden="false" customHeight="true" outlineLevel="0" collapsed="false">
      <c r="A4" s="25" t="s">
        <v>246</v>
      </c>
      <c r="B4" s="25" t="s">
        <v>247</v>
      </c>
      <c r="C4" s="25" t="s">
        <v>248</v>
      </c>
      <c r="D4" s="25" t="s">
        <v>72</v>
      </c>
      <c r="E4" s="25" t="s">
        <v>249</v>
      </c>
      <c r="F4" s="25" t="s">
        <v>250</v>
      </c>
      <c r="G4" s="25" t="s">
        <v>251</v>
      </c>
      <c r="H4" s="25" t="s">
        <v>252</v>
      </c>
      <c r="I4" s="25" t="s">
        <v>253</v>
      </c>
      <c r="J4" s="25" t="s">
        <v>73</v>
      </c>
    </row>
    <row r="5" customFormat="false" ht="22.35" hidden="false" customHeight="false" outlineLevel="0" collapsed="false">
      <c r="A5" s="23" t="n">
        <v>1</v>
      </c>
      <c r="B5" s="23" t="s">
        <v>254</v>
      </c>
      <c r="C5" s="23" t="s">
        <v>82</v>
      </c>
      <c r="D5" s="23" t="s">
        <v>83</v>
      </c>
      <c r="E5" s="23" t="n">
        <v>5</v>
      </c>
      <c r="F5" s="23" t="n">
        <v>1</v>
      </c>
      <c r="G5" s="27" t="n">
        <f aca="false">E5*(6-F5)</f>
        <v>25</v>
      </c>
      <c r="H5" s="23" t="s">
        <v>255</v>
      </c>
      <c r="I5" s="23"/>
      <c r="J5" s="23" t="s">
        <v>81</v>
      </c>
    </row>
    <row r="6" customFormat="false" ht="22.35" hidden="false" customHeight="false" outlineLevel="0" collapsed="false">
      <c r="A6" s="26" t="n">
        <v>2</v>
      </c>
      <c r="B6" s="26" t="s">
        <v>256</v>
      </c>
      <c r="C6" s="26" t="s">
        <v>105</v>
      </c>
      <c r="D6" s="26" t="s">
        <v>83</v>
      </c>
      <c r="E6" s="26" t="n">
        <v>5</v>
      </c>
      <c r="F6" s="26" t="n">
        <v>1</v>
      </c>
      <c r="G6" s="28" t="n">
        <f aca="false">E6*(6-F6)</f>
        <v>25</v>
      </c>
      <c r="H6" s="26" t="s">
        <v>257</v>
      </c>
      <c r="I6" s="26"/>
      <c r="J6" s="26" t="s">
        <v>81</v>
      </c>
    </row>
    <row r="7" customFormat="false" ht="15" hidden="false" customHeight="false" outlineLevel="0" collapsed="false">
      <c r="A7" s="23" t="n">
        <v>3</v>
      </c>
      <c r="B7" s="23" t="s">
        <v>258</v>
      </c>
      <c r="C7" s="23" t="s">
        <v>112</v>
      </c>
      <c r="D7" s="23" t="s">
        <v>259</v>
      </c>
      <c r="E7" s="23" t="n">
        <v>4</v>
      </c>
      <c r="F7" s="23" t="n">
        <v>1</v>
      </c>
      <c r="G7" s="27" t="n">
        <f aca="false">E7*(6-F7)</f>
        <v>20</v>
      </c>
      <c r="H7" s="23" t="s">
        <v>260</v>
      </c>
      <c r="I7" s="23"/>
      <c r="J7" s="23" t="s">
        <v>81</v>
      </c>
    </row>
    <row r="8" customFormat="false" ht="22.35" hidden="false" customHeight="false" outlineLevel="0" collapsed="false">
      <c r="A8" s="26" t="n">
        <v>4</v>
      </c>
      <c r="B8" s="26" t="s">
        <v>261</v>
      </c>
      <c r="C8" s="26" t="s">
        <v>82</v>
      </c>
      <c r="D8" s="26" t="s">
        <v>83</v>
      </c>
      <c r="E8" s="26" t="n">
        <v>5</v>
      </c>
      <c r="F8" s="26" t="n">
        <v>2</v>
      </c>
      <c r="G8" s="28" t="n">
        <f aca="false">E8*(6-F8)</f>
        <v>20</v>
      </c>
      <c r="H8" s="26" t="s">
        <v>262</v>
      </c>
      <c r="I8" s="26"/>
      <c r="J8" s="26" t="s">
        <v>81</v>
      </c>
    </row>
    <row r="9" customFormat="false" ht="22.35" hidden="false" customHeight="false" outlineLevel="0" collapsed="false">
      <c r="A9" s="23" t="n">
        <v>5</v>
      </c>
      <c r="B9" s="23" t="s">
        <v>263</v>
      </c>
      <c r="C9" s="23" t="s">
        <v>82</v>
      </c>
      <c r="D9" s="23" t="s">
        <v>83</v>
      </c>
      <c r="E9" s="23" t="n">
        <v>4</v>
      </c>
      <c r="F9" s="23" t="n">
        <v>2</v>
      </c>
      <c r="G9" s="27" t="n">
        <f aca="false">E9*(6-F9)</f>
        <v>16</v>
      </c>
      <c r="H9" s="23" t="s">
        <v>264</v>
      </c>
      <c r="I9" s="23"/>
      <c r="J9" s="23" t="s">
        <v>81</v>
      </c>
    </row>
    <row r="10" customFormat="false" ht="15" hidden="false" customHeight="false" outlineLevel="0" collapsed="false">
      <c r="A10" s="26" t="n">
        <v>6</v>
      </c>
      <c r="B10" s="26" t="s">
        <v>265</v>
      </c>
      <c r="C10" s="26" t="s">
        <v>166</v>
      </c>
      <c r="D10" s="26" t="s">
        <v>83</v>
      </c>
      <c r="E10" s="26" t="n">
        <v>4</v>
      </c>
      <c r="F10" s="26" t="n">
        <v>2</v>
      </c>
      <c r="G10" s="28" t="n">
        <f aca="false">E10*(6-F10)</f>
        <v>16</v>
      </c>
      <c r="H10" s="26" t="s">
        <v>266</v>
      </c>
      <c r="I10" s="26"/>
      <c r="J10" s="26" t="s">
        <v>81</v>
      </c>
    </row>
    <row r="11" customFormat="false" ht="15" hidden="false" customHeight="false" outlineLevel="0" collapsed="false">
      <c r="A11" s="23" t="n">
        <v>7</v>
      </c>
      <c r="B11" s="23" t="s">
        <v>267</v>
      </c>
      <c r="C11" s="23" t="s">
        <v>90</v>
      </c>
      <c r="D11" s="23" t="s">
        <v>83</v>
      </c>
      <c r="E11" s="23" t="n">
        <v>4</v>
      </c>
      <c r="F11" s="23" t="n">
        <v>2</v>
      </c>
      <c r="G11" s="27" t="n">
        <f aca="false">E11*(6-F11)</f>
        <v>16</v>
      </c>
      <c r="H11" s="23" t="s">
        <v>268</v>
      </c>
      <c r="I11" s="23"/>
      <c r="J11" s="23" t="s">
        <v>81</v>
      </c>
    </row>
    <row r="12" customFormat="false" ht="22.35" hidden="false" customHeight="false" outlineLevel="0" collapsed="false">
      <c r="A12" s="26" t="n">
        <v>8</v>
      </c>
      <c r="B12" s="26" t="s">
        <v>269</v>
      </c>
      <c r="C12" s="26" t="s">
        <v>270</v>
      </c>
      <c r="D12" s="26" t="s">
        <v>259</v>
      </c>
      <c r="E12" s="26" t="n">
        <v>3</v>
      </c>
      <c r="F12" s="26" t="n">
        <v>1</v>
      </c>
      <c r="G12" s="28" t="n">
        <f aca="false">E12*(6-F12)</f>
        <v>15</v>
      </c>
      <c r="H12" s="26" t="s">
        <v>271</v>
      </c>
      <c r="I12" s="26"/>
      <c r="J12" s="26" t="s">
        <v>81</v>
      </c>
    </row>
    <row r="13" customFormat="false" ht="15" hidden="false" customHeight="false" outlineLevel="0" collapsed="false">
      <c r="A13" s="23" t="n">
        <v>9</v>
      </c>
      <c r="B13" s="23" t="s">
        <v>272</v>
      </c>
      <c r="C13" s="23" t="s">
        <v>154</v>
      </c>
      <c r="D13" s="23" t="s">
        <v>259</v>
      </c>
      <c r="E13" s="23" t="n">
        <v>3</v>
      </c>
      <c r="F13" s="23" t="n">
        <v>1</v>
      </c>
      <c r="G13" s="27" t="n">
        <f aca="false">E13*(6-F13)</f>
        <v>15</v>
      </c>
      <c r="H13" s="23" t="s">
        <v>273</v>
      </c>
      <c r="I13" s="23"/>
      <c r="J13" s="23" t="s">
        <v>81</v>
      </c>
    </row>
    <row r="14" customFormat="false" ht="15" hidden="false" customHeight="false" outlineLevel="0" collapsed="false">
      <c r="A14" s="26" t="n">
        <v>10</v>
      </c>
      <c r="B14" s="26" t="s">
        <v>274</v>
      </c>
      <c r="C14" s="26" t="s">
        <v>147</v>
      </c>
      <c r="D14" s="26" t="s">
        <v>259</v>
      </c>
      <c r="E14" s="26" t="n">
        <v>3</v>
      </c>
      <c r="F14" s="26" t="n">
        <v>1</v>
      </c>
      <c r="G14" s="28" t="n">
        <f aca="false">E14*(6-F14)</f>
        <v>15</v>
      </c>
      <c r="H14" s="26" t="s">
        <v>275</v>
      </c>
      <c r="I14" s="26"/>
      <c r="J14" s="26" t="s">
        <v>81</v>
      </c>
    </row>
    <row r="15" customFormat="false" ht="15" hidden="false" customHeight="false" outlineLevel="0" collapsed="false">
      <c r="A15" s="23" t="n">
        <v>11</v>
      </c>
      <c r="B15" s="23" t="s">
        <v>276</v>
      </c>
      <c r="C15" s="23" t="s">
        <v>98</v>
      </c>
      <c r="D15" s="23" t="s">
        <v>259</v>
      </c>
      <c r="E15" s="23" t="n">
        <v>4</v>
      </c>
      <c r="F15" s="23" t="n">
        <v>3</v>
      </c>
      <c r="G15" s="27" t="n">
        <f aca="false">E15*(6-F15)</f>
        <v>12</v>
      </c>
      <c r="H15" s="23" t="s">
        <v>277</v>
      </c>
      <c r="I15" s="23"/>
      <c r="J15" s="23" t="s">
        <v>81</v>
      </c>
    </row>
    <row r="16" customFormat="false" ht="15" hidden="false" customHeight="false" outlineLevel="0" collapsed="false">
      <c r="A16" s="26" t="n">
        <v>12</v>
      </c>
      <c r="B16" s="26" t="s">
        <v>278</v>
      </c>
      <c r="C16" s="26" t="s">
        <v>120</v>
      </c>
      <c r="D16" s="26" t="s">
        <v>279</v>
      </c>
      <c r="E16" s="26" t="n">
        <v>4</v>
      </c>
      <c r="F16" s="26" t="n">
        <v>3</v>
      </c>
      <c r="G16" s="28" t="n">
        <f aca="false">E16*(6-F16)</f>
        <v>12</v>
      </c>
      <c r="H16" s="26" t="s">
        <v>280</v>
      </c>
      <c r="I16" s="26"/>
      <c r="J16" s="26" t="s">
        <v>81</v>
      </c>
    </row>
    <row r="17" customFormat="false" ht="15" hidden="false" customHeight="false" outlineLevel="0" collapsed="false">
      <c r="A17" s="23" t="n">
        <v>13</v>
      </c>
      <c r="B17" s="23" t="s">
        <v>281</v>
      </c>
      <c r="C17" s="23" t="s">
        <v>282</v>
      </c>
      <c r="D17" s="23" t="s">
        <v>259</v>
      </c>
      <c r="E17" s="23" t="n">
        <v>3</v>
      </c>
      <c r="F17" s="23" t="n">
        <v>3</v>
      </c>
      <c r="G17" s="27" t="n">
        <f aca="false">E17*(6-F17)</f>
        <v>9</v>
      </c>
      <c r="H17" s="23" t="s">
        <v>283</v>
      </c>
      <c r="I17" s="23"/>
      <c r="J17" s="23" t="s">
        <v>81</v>
      </c>
    </row>
  </sheetData>
  <autoFilter ref="A4:J17"/>
  <conditionalFormatting sqref="J5:J17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0">
      <formula>"Blocked"</formula>
    </cfRule>
  </conditionalFormatting>
  <conditionalFormatting sqref="G5:G17">
    <cfRule type="cellIs" priority="4" operator="greaterThanOrEqual" aboveAverage="0" equalAverage="0" bottom="0" percent="0" rank="0" text="" dxfId="2">
      <formula>20</formula>
    </cfRule>
  </conditionalFormatting>
  <dataValidations count="1">
    <dataValidation allowBlank="true" errorStyle="stop" operator="between" showDropDown="false" showErrorMessage="false" showInputMessage="false" sqref="J5:J1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O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true" outlineLevel="0" max="9" min="9" style="0" width="4"/>
    <col collapsed="false" customWidth="true" hidden="false" outlineLevel="0" max="10" min="10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9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30" hidden="false" customHeight="true" outlineLevel="0" collapsed="false">
      <c r="A4" s="25" t="s">
        <v>286</v>
      </c>
      <c r="B4" s="25" t="s">
        <v>287</v>
      </c>
      <c r="C4" s="25" t="s">
        <v>8</v>
      </c>
      <c r="D4" s="25" t="s">
        <v>9</v>
      </c>
      <c r="E4" s="25" t="s">
        <v>26</v>
      </c>
      <c r="F4" s="25" t="s">
        <v>288</v>
      </c>
      <c r="G4" s="25" t="s">
        <v>289</v>
      </c>
      <c r="H4" s="25" t="s">
        <v>290</v>
      </c>
      <c r="I4" s="25" t="s">
        <v>291</v>
      </c>
      <c r="J4" s="25" t="s">
        <v>292</v>
      </c>
      <c r="M4" s="29" t="s">
        <v>293</v>
      </c>
      <c r="N4" s="29" t="s">
        <v>289</v>
      </c>
      <c r="O4" s="29" t="s">
        <v>294</v>
      </c>
    </row>
    <row r="5" customFormat="false" ht="15" hidden="false" customHeight="false" outlineLevel="0" collapsed="false">
      <c r="A5" s="23" t="s">
        <v>295</v>
      </c>
      <c r="B5" s="23" t="s">
        <v>296</v>
      </c>
      <c r="C5" s="23" t="n">
        <v>702</v>
      </c>
      <c r="D5" s="23" t="n">
        <v>4620</v>
      </c>
      <c r="E5" s="30" t="n">
        <f aca="false">IFERROR(C5/D5,0)</f>
        <v>0.151948051948052</v>
      </c>
      <c r="F5" s="23" t="n">
        <v>6.5</v>
      </c>
      <c r="G5" s="31" t="n">
        <f aca="false">INDEX($N$5:$N$9,MATCH(F5,$M$5:$M$9,1))</f>
        <v>0.025</v>
      </c>
      <c r="H5" s="23" t="n">
        <f aca="false">ROUND(D5*G5,0)</f>
        <v>116</v>
      </c>
      <c r="I5" s="23"/>
      <c r="J5" s="32" t="n">
        <f aca="false">IF(OR(B5="Brand / sitelink",B5="Sitelink / nav page",B5="Subdomain / www",B5="404: redirect"),0,MAX(0,H5-C5))</f>
        <v>0</v>
      </c>
      <c r="M5" s="33" t="n">
        <v>0</v>
      </c>
      <c r="N5" s="34" t="n">
        <v>0.1</v>
      </c>
      <c r="O5" s="33" t="s">
        <v>297</v>
      </c>
    </row>
    <row r="6" customFormat="false" ht="15" hidden="false" customHeight="false" outlineLevel="0" collapsed="false">
      <c r="A6" s="26" t="s">
        <v>298</v>
      </c>
      <c r="B6" s="26" t="s">
        <v>296</v>
      </c>
      <c r="C6" s="26" t="n">
        <v>66</v>
      </c>
      <c r="D6" s="26" t="n">
        <v>2813</v>
      </c>
      <c r="E6" s="35" t="n">
        <f aca="false">IFERROR(C6/D6,0)</f>
        <v>0.0234624955563455</v>
      </c>
      <c r="F6" s="26" t="n">
        <v>4.06</v>
      </c>
      <c r="G6" s="36" t="n">
        <f aca="false">INDEX($N$5:$N$9,MATCH(F6,$M$5:$M$9,1))</f>
        <v>0.05</v>
      </c>
      <c r="H6" s="26" t="n">
        <f aca="false">ROUND(D6*G6,0)</f>
        <v>141</v>
      </c>
      <c r="I6" s="26"/>
      <c r="J6" s="37" t="n">
        <f aca="false">IF(OR(B6="Brand / sitelink",B6="Sitelink / nav page",B6="Subdomain / www",B6="404: redirect"),0,MAX(0,H6-C6))</f>
        <v>0</v>
      </c>
      <c r="M6" s="33" t="n">
        <v>3.5</v>
      </c>
      <c r="N6" s="34" t="n">
        <v>0.05</v>
      </c>
      <c r="O6" s="33" t="s">
        <v>299</v>
      </c>
    </row>
    <row r="7" customFormat="false" ht="15" hidden="false" customHeight="false" outlineLevel="0" collapsed="false">
      <c r="A7" s="23" t="s">
        <v>300</v>
      </c>
      <c r="B7" s="23" t="s">
        <v>301</v>
      </c>
      <c r="C7" s="23" t="n">
        <v>18</v>
      </c>
      <c r="D7" s="23" t="n">
        <v>3004</v>
      </c>
      <c r="E7" s="30" t="n">
        <f aca="false">IFERROR(C7/D7,0)</f>
        <v>0.00599201065246338</v>
      </c>
      <c r="F7" s="23" t="n">
        <v>7.78</v>
      </c>
      <c r="G7" s="31" t="n">
        <f aca="false">INDEX($N$5:$N$9,MATCH(F7,$M$5:$M$9,1))</f>
        <v>0.025</v>
      </c>
      <c r="H7" s="23" t="n">
        <f aca="false">ROUND(D7*G7,0)</f>
        <v>75</v>
      </c>
      <c r="I7" s="23"/>
      <c r="J7" s="32" t="n">
        <f aca="false">IF(OR(B7="Brand / sitelink",B7="Sitelink / nav page",B7="Subdomain / www",B7="404: redirect"),0,MAX(0,H7-C7))</f>
        <v>57</v>
      </c>
      <c r="M7" s="33" t="n">
        <v>6.5</v>
      </c>
      <c r="N7" s="34" t="n">
        <v>0.025</v>
      </c>
      <c r="O7" s="33" t="s">
        <v>302</v>
      </c>
    </row>
    <row r="8" customFormat="false" ht="15" hidden="false" customHeight="false" outlineLevel="0" collapsed="false">
      <c r="A8" s="26" t="s">
        <v>303</v>
      </c>
      <c r="B8" s="26" t="s">
        <v>296</v>
      </c>
      <c r="C8" s="26" t="n">
        <v>7</v>
      </c>
      <c r="D8" s="26" t="n">
        <v>630</v>
      </c>
      <c r="E8" s="35" t="n">
        <f aca="false">IFERROR(C8/D8,0)</f>
        <v>0.0111111111111111</v>
      </c>
      <c r="F8" s="26" t="n">
        <v>8.11</v>
      </c>
      <c r="G8" s="36" t="n">
        <f aca="false">INDEX($N$5:$N$9,MATCH(F8,$M$5:$M$9,1))</f>
        <v>0.025</v>
      </c>
      <c r="H8" s="26" t="n">
        <f aca="false">ROUND(D8*G8,0)</f>
        <v>16</v>
      </c>
      <c r="I8" s="26"/>
      <c r="J8" s="37" t="n">
        <f aca="false">IF(OR(B8="Brand / sitelink",B8="Sitelink / nav page",B8="Subdomain / www",B8="404: redirect"),0,MAX(0,H8-C8))</f>
        <v>0</v>
      </c>
      <c r="M8" s="33" t="n">
        <v>10.5</v>
      </c>
      <c r="N8" s="34" t="n">
        <v>0.01</v>
      </c>
      <c r="O8" s="33" t="s">
        <v>304</v>
      </c>
    </row>
    <row r="9" customFormat="false" ht="15" hidden="false" customHeight="false" outlineLevel="0" collapsed="false">
      <c r="A9" s="23" t="s">
        <v>305</v>
      </c>
      <c r="B9" s="23" t="s">
        <v>306</v>
      </c>
      <c r="C9" s="23" t="n">
        <v>6</v>
      </c>
      <c r="D9" s="23" t="n">
        <v>581</v>
      </c>
      <c r="E9" s="30" t="n">
        <f aca="false">IFERROR(C9/D9,0)</f>
        <v>0.0103270223752151</v>
      </c>
      <c r="F9" s="23" t="n">
        <v>11.09</v>
      </c>
      <c r="G9" s="31" t="n">
        <f aca="false">INDEX($N$5:$N$9,MATCH(F9,$M$5:$M$9,1))</f>
        <v>0.01</v>
      </c>
      <c r="H9" s="23" t="n">
        <f aca="false">ROUND(D9*G9,0)</f>
        <v>6</v>
      </c>
      <c r="I9" s="23"/>
      <c r="J9" s="32" t="n">
        <f aca="false">IF(OR(B9="Brand / sitelink",B9="Sitelink / nav page",B9="Subdomain / www",B9="404: redirect"),0,MAX(0,H9-C9))</f>
        <v>0</v>
      </c>
      <c r="M9" s="33" t="n">
        <v>20.5</v>
      </c>
      <c r="N9" s="34" t="n">
        <v>0.003</v>
      </c>
      <c r="O9" s="33" t="s">
        <v>307</v>
      </c>
    </row>
    <row r="10" customFormat="false" ht="15" hidden="false" customHeight="false" outlineLevel="0" collapsed="false">
      <c r="A10" s="26" t="s">
        <v>308</v>
      </c>
      <c r="B10" s="26" t="s">
        <v>309</v>
      </c>
      <c r="C10" s="26" t="n">
        <v>6</v>
      </c>
      <c r="D10" s="26" t="n">
        <v>50</v>
      </c>
      <c r="E10" s="35" t="n">
        <f aca="false">IFERROR(C10/D10,0)</f>
        <v>0.12</v>
      </c>
      <c r="F10" s="26" t="n">
        <v>5.7</v>
      </c>
      <c r="G10" s="36" t="n">
        <f aca="false">INDEX($N$5:$N$9,MATCH(F10,$M$5:$M$9,1))</f>
        <v>0.05</v>
      </c>
      <c r="H10" s="26" t="n">
        <f aca="false">ROUND(D10*G10,0)</f>
        <v>3</v>
      </c>
      <c r="I10" s="26"/>
      <c r="J10" s="37" t="n">
        <f aca="false">IF(OR(B10="Brand / sitelink",B10="Sitelink / nav page",B10="Subdomain / www",B10="404: redirect"),0,MAX(0,H10-C10))</f>
        <v>0</v>
      </c>
    </row>
    <row r="11" customFormat="false" ht="15" hidden="false" customHeight="false" outlineLevel="0" collapsed="false">
      <c r="A11" s="23" t="s">
        <v>310</v>
      </c>
      <c r="B11" s="23" t="s">
        <v>311</v>
      </c>
      <c r="C11" s="23" t="n">
        <v>5</v>
      </c>
      <c r="D11" s="23" t="n">
        <v>88</v>
      </c>
      <c r="E11" s="30" t="n">
        <f aca="false">IFERROR(C11/D11,0)</f>
        <v>0.0568181818181818</v>
      </c>
      <c r="F11" s="23" t="n">
        <v>5.19</v>
      </c>
      <c r="G11" s="31" t="n">
        <f aca="false">INDEX($N$5:$N$9,MATCH(F11,$M$5:$M$9,1))</f>
        <v>0.05</v>
      </c>
      <c r="H11" s="23" t="n">
        <f aca="false">ROUND(D11*G11,0)</f>
        <v>4</v>
      </c>
      <c r="I11" s="23"/>
      <c r="J11" s="32" t="n">
        <f aca="false">IF(OR(B11="Brand / sitelink",B11="Sitelink / nav page",B11="Subdomain / www",B11="404: redirect"),0,MAX(0,H11-C11))</f>
        <v>0</v>
      </c>
    </row>
    <row r="12" customFormat="false" ht="15" hidden="false" customHeight="false" outlineLevel="0" collapsed="false">
      <c r="A12" s="26" t="s">
        <v>312</v>
      </c>
      <c r="B12" s="26" t="s">
        <v>296</v>
      </c>
      <c r="C12" s="26" t="n">
        <v>4</v>
      </c>
      <c r="D12" s="26" t="n">
        <v>884</v>
      </c>
      <c r="E12" s="35" t="n">
        <f aca="false">IFERROR(C12/D12,0)</f>
        <v>0.00452488687782806</v>
      </c>
      <c r="F12" s="26" t="n">
        <v>4.9</v>
      </c>
      <c r="G12" s="36" t="n">
        <f aca="false">INDEX($N$5:$N$9,MATCH(F12,$M$5:$M$9,1))</f>
        <v>0.05</v>
      </c>
      <c r="H12" s="26" t="n">
        <f aca="false">ROUND(D12*G12,0)</f>
        <v>44</v>
      </c>
      <c r="I12" s="26"/>
      <c r="J12" s="37" t="n">
        <f aca="false">IF(OR(B12="Brand / sitelink",B12="Sitelink / nav page",B12="Subdomain / www",B12="404: redirect"),0,MAX(0,H12-C12))</f>
        <v>0</v>
      </c>
    </row>
    <row r="13" customFormat="false" ht="15" hidden="false" customHeight="false" outlineLevel="0" collapsed="false">
      <c r="A13" s="23" t="s">
        <v>313</v>
      </c>
      <c r="B13" s="23" t="s">
        <v>306</v>
      </c>
      <c r="C13" s="23" t="n">
        <v>4</v>
      </c>
      <c r="D13" s="23" t="n">
        <v>275</v>
      </c>
      <c r="E13" s="30" t="n">
        <f aca="false">IFERROR(C13/D13,0)</f>
        <v>0.0145454545454545</v>
      </c>
      <c r="F13" s="23" t="n">
        <v>16.49</v>
      </c>
      <c r="G13" s="31" t="n">
        <f aca="false">INDEX($N$5:$N$9,MATCH(F13,$M$5:$M$9,1))</f>
        <v>0.01</v>
      </c>
      <c r="H13" s="23" t="n">
        <f aca="false">ROUND(D13*G13,0)</f>
        <v>3</v>
      </c>
      <c r="I13" s="23"/>
      <c r="J13" s="32" t="n">
        <f aca="false">IF(OR(B13="Brand / sitelink",B13="Sitelink / nav page",B13="Subdomain / www",B13="404: redirect"),0,MAX(0,H13-C13))</f>
        <v>0</v>
      </c>
    </row>
    <row r="14" customFormat="false" ht="15" hidden="false" customHeight="false" outlineLevel="0" collapsed="false">
      <c r="A14" s="26" t="s">
        <v>314</v>
      </c>
      <c r="B14" s="26" t="s">
        <v>315</v>
      </c>
      <c r="C14" s="26" t="n">
        <v>4</v>
      </c>
      <c r="D14" s="26" t="n">
        <v>67</v>
      </c>
      <c r="E14" s="35" t="n">
        <f aca="false">IFERROR(C14/D14,0)</f>
        <v>0.0597014925373134</v>
      </c>
      <c r="F14" s="26" t="n">
        <v>8.64</v>
      </c>
      <c r="G14" s="36" t="n">
        <f aca="false">INDEX($N$5:$N$9,MATCH(F14,$M$5:$M$9,1))</f>
        <v>0.025</v>
      </c>
      <c r="H14" s="26" t="n">
        <f aca="false">ROUND(D14*G14,0)</f>
        <v>2</v>
      </c>
      <c r="I14" s="26"/>
      <c r="J14" s="37" t="n">
        <f aca="false">IF(OR(B14="Brand / sitelink",B14="Sitelink / nav page",B14="Subdomain / www",B14="404: redirect"),0,MAX(0,H14-C14))</f>
        <v>0</v>
      </c>
    </row>
    <row r="15" customFormat="false" ht="15" hidden="false" customHeight="false" outlineLevel="0" collapsed="false">
      <c r="A15" s="23" t="s">
        <v>316</v>
      </c>
      <c r="B15" s="23" t="s">
        <v>311</v>
      </c>
      <c r="C15" s="23" t="n">
        <v>4</v>
      </c>
      <c r="D15" s="23" t="n">
        <v>31</v>
      </c>
      <c r="E15" s="30" t="n">
        <f aca="false">IFERROR(C15/D15,0)</f>
        <v>0.129032258064516</v>
      </c>
      <c r="F15" s="23" t="n">
        <v>6.9</v>
      </c>
      <c r="G15" s="31" t="n">
        <f aca="false">INDEX($N$5:$N$9,MATCH(F15,$M$5:$M$9,1))</f>
        <v>0.025</v>
      </c>
      <c r="H15" s="23" t="n">
        <f aca="false">ROUND(D15*G15,0)</f>
        <v>1</v>
      </c>
      <c r="I15" s="23"/>
      <c r="J15" s="32" t="n">
        <f aca="false">IF(OR(B15="Brand / sitelink",B15="Sitelink / nav page",B15="Subdomain / www",B15="404: redirect"),0,MAX(0,H15-C15))</f>
        <v>0</v>
      </c>
    </row>
    <row r="16" customFormat="false" ht="15" hidden="false" customHeight="false" outlineLevel="0" collapsed="false">
      <c r="A16" s="26" t="s">
        <v>317</v>
      </c>
      <c r="B16" s="26" t="s">
        <v>318</v>
      </c>
      <c r="C16" s="26" t="n">
        <v>3</v>
      </c>
      <c r="D16" s="26" t="n">
        <v>6393</v>
      </c>
      <c r="E16" s="35" t="n">
        <f aca="false">IFERROR(C16/D16,0)</f>
        <v>0.000469263256687001</v>
      </c>
      <c r="F16" s="26" t="n">
        <v>30.16</v>
      </c>
      <c r="G16" s="36" t="n">
        <f aca="false">INDEX($N$5:$N$9,MATCH(F16,$M$5:$M$9,1))</f>
        <v>0.003</v>
      </c>
      <c r="H16" s="26" t="n">
        <f aca="false">ROUND(D16*G16,0)</f>
        <v>19</v>
      </c>
      <c r="I16" s="26"/>
      <c r="J16" s="37" t="n">
        <f aca="false">IF(OR(B16="Brand / sitelink",B16="Sitelink / nav page",B16="Subdomain / www",B16="404: redirect"),0,MAX(0,H16-C16))</f>
        <v>16</v>
      </c>
    </row>
    <row r="17" customFormat="false" ht="15" hidden="false" customHeight="false" outlineLevel="0" collapsed="false">
      <c r="A17" s="23" t="s">
        <v>319</v>
      </c>
      <c r="B17" s="23" t="s">
        <v>320</v>
      </c>
      <c r="C17" s="23" t="n">
        <v>3</v>
      </c>
      <c r="D17" s="23" t="n">
        <v>1541</v>
      </c>
      <c r="E17" s="30" t="n">
        <f aca="false">IFERROR(C17/D17,0)</f>
        <v>0.00194678780012979</v>
      </c>
      <c r="F17" s="23" t="n">
        <v>3.3</v>
      </c>
      <c r="G17" s="31" t="n">
        <f aca="false">INDEX($N$5:$N$9,MATCH(F17,$M$5:$M$9,1))</f>
        <v>0.1</v>
      </c>
      <c r="H17" s="23" t="n">
        <f aca="false">ROUND(D17*G17,0)</f>
        <v>154</v>
      </c>
      <c r="I17" s="23"/>
      <c r="J17" s="32" t="n">
        <f aca="false">IF(OR(B17="Brand / sitelink",B17="Sitelink / nav page",B17="Subdomain / www",B17="404: redirect"),0,MAX(0,H17-C17))</f>
        <v>0</v>
      </c>
    </row>
    <row r="18" customFormat="false" ht="15" hidden="false" customHeight="false" outlineLevel="0" collapsed="false">
      <c r="A18" s="26" t="s">
        <v>321</v>
      </c>
      <c r="B18" s="26" t="s">
        <v>320</v>
      </c>
      <c r="C18" s="26" t="n">
        <v>3</v>
      </c>
      <c r="D18" s="26" t="n">
        <v>1423</v>
      </c>
      <c r="E18" s="35" t="n">
        <f aca="false">IFERROR(C18/D18,0)</f>
        <v>0.00210822206605762</v>
      </c>
      <c r="F18" s="26" t="n">
        <v>2.58</v>
      </c>
      <c r="G18" s="36" t="n">
        <f aca="false">INDEX($N$5:$N$9,MATCH(F18,$M$5:$M$9,1))</f>
        <v>0.1</v>
      </c>
      <c r="H18" s="26" t="n">
        <f aca="false">ROUND(D18*G18,0)</f>
        <v>142</v>
      </c>
      <c r="I18" s="26"/>
      <c r="J18" s="37" t="n">
        <f aca="false">IF(OR(B18="Brand / sitelink",B18="Sitelink / nav page",B18="Subdomain / www",B18="404: redirect"),0,MAX(0,H18-C18))</f>
        <v>0</v>
      </c>
    </row>
    <row r="19" customFormat="false" ht="22.35" hidden="false" customHeight="false" outlineLevel="0" collapsed="false">
      <c r="A19" s="23" t="s">
        <v>322</v>
      </c>
      <c r="B19" s="23" t="s">
        <v>301</v>
      </c>
      <c r="C19" s="23" t="n">
        <v>3</v>
      </c>
      <c r="D19" s="23" t="n">
        <v>715</v>
      </c>
      <c r="E19" s="30" t="n">
        <f aca="false">IFERROR(C19/D19,0)</f>
        <v>0.0041958041958042</v>
      </c>
      <c r="F19" s="23" t="n">
        <v>7.57</v>
      </c>
      <c r="G19" s="31" t="n">
        <f aca="false">INDEX($N$5:$N$9,MATCH(F19,$M$5:$M$9,1))</f>
        <v>0.025</v>
      </c>
      <c r="H19" s="23" t="n">
        <f aca="false">ROUND(D19*G19,0)</f>
        <v>18</v>
      </c>
      <c r="I19" s="23"/>
      <c r="J19" s="32" t="n">
        <f aca="false">IF(OR(B19="Brand / sitelink",B19="Sitelink / nav page",B19="Subdomain / www",B19="404: redirect"),0,MAX(0,H19-C19))</f>
        <v>15</v>
      </c>
    </row>
    <row r="20" customFormat="false" ht="15" hidden="false" customHeight="false" outlineLevel="0" collapsed="false">
      <c r="A20" s="26" t="s">
        <v>323</v>
      </c>
      <c r="B20" s="26" t="s">
        <v>320</v>
      </c>
      <c r="C20" s="26" t="n">
        <v>3</v>
      </c>
      <c r="D20" s="26" t="n">
        <v>618</v>
      </c>
      <c r="E20" s="35" t="n">
        <f aca="false">IFERROR(C20/D20,0)</f>
        <v>0.00485436893203883</v>
      </c>
      <c r="F20" s="26" t="n">
        <v>14.87</v>
      </c>
      <c r="G20" s="36" t="n">
        <f aca="false">INDEX($N$5:$N$9,MATCH(F20,$M$5:$M$9,1))</f>
        <v>0.01</v>
      </c>
      <c r="H20" s="26" t="n">
        <f aca="false">ROUND(D20*G20,0)</f>
        <v>6</v>
      </c>
      <c r="I20" s="26"/>
      <c r="J20" s="37" t="n">
        <f aca="false">IF(OR(B20="Brand / sitelink",B20="Sitelink / nav page",B20="Subdomain / www",B20="404: redirect"),0,MAX(0,H20-C20))</f>
        <v>0</v>
      </c>
    </row>
    <row r="21" customFormat="false" ht="15" hidden="false" customHeight="false" outlineLevel="0" collapsed="false">
      <c r="A21" s="23" t="s">
        <v>324</v>
      </c>
      <c r="B21" s="23" t="s">
        <v>306</v>
      </c>
      <c r="C21" s="23" t="n">
        <v>3</v>
      </c>
      <c r="D21" s="23" t="n">
        <v>363</v>
      </c>
      <c r="E21" s="30" t="n">
        <f aca="false">IFERROR(C21/D21,0)</f>
        <v>0.00826446280991736</v>
      </c>
      <c r="F21" s="23" t="n">
        <v>16.09</v>
      </c>
      <c r="G21" s="31" t="n">
        <f aca="false">INDEX($N$5:$N$9,MATCH(F21,$M$5:$M$9,1))</f>
        <v>0.01</v>
      </c>
      <c r="H21" s="23" t="n">
        <f aca="false">ROUND(D21*G21,0)</f>
        <v>4</v>
      </c>
      <c r="I21" s="23"/>
      <c r="J21" s="32" t="n">
        <f aca="false">IF(OR(B21="Brand / sitelink",B21="Sitelink / nav page",B21="Subdomain / www",B21="404: redirect"),0,MAX(0,H21-C21))</f>
        <v>1</v>
      </c>
    </row>
    <row r="22" customFormat="false" ht="15" hidden="false" customHeight="false" outlineLevel="0" collapsed="false">
      <c r="A22" s="26" t="s">
        <v>325</v>
      </c>
      <c r="B22" s="26" t="s">
        <v>320</v>
      </c>
      <c r="C22" s="26" t="n">
        <v>3</v>
      </c>
      <c r="D22" s="26" t="n">
        <v>344</v>
      </c>
      <c r="E22" s="35" t="n">
        <f aca="false">IFERROR(C22/D22,0)</f>
        <v>0.00872093023255814</v>
      </c>
      <c r="F22" s="26" t="n">
        <v>6.59</v>
      </c>
      <c r="G22" s="36" t="n">
        <f aca="false">INDEX($N$5:$N$9,MATCH(F22,$M$5:$M$9,1))</f>
        <v>0.025</v>
      </c>
      <c r="H22" s="26" t="n">
        <f aca="false">ROUND(D22*G22,0)</f>
        <v>9</v>
      </c>
      <c r="I22" s="26"/>
      <c r="J22" s="37" t="n">
        <f aca="false">IF(OR(B22="Brand / sitelink",B22="Sitelink / nav page",B22="Subdomain / www",B22="404: redirect"),0,MAX(0,H22-C22))</f>
        <v>0</v>
      </c>
    </row>
    <row r="23" customFormat="false" ht="22.35" hidden="false" customHeight="false" outlineLevel="0" collapsed="false">
      <c r="A23" s="23" t="s">
        <v>326</v>
      </c>
      <c r="B23" s="23" t="s">
        <v>309</v>
      </c>
      <c r="C23" s="23" t="n">
        <v>3</v>
      </c>
      <c r="D23" s="23" t="n">
        <v>10</v>
      </c>
      <c r="E23" s="30" t="n">
        <f aca="false">IFERROR(C23/D23,0)</f>
        <v>0.3</v>
      </c>
      <c r="F23" s="23" t="n">
        <v>5.6</v>
      </c>
      <c r="G23" s="31" t="n">
        <f aca="false">INDEX($N$5:$N$9,MATCH(F23,$M$5:$M$9,1))</f>
        <v>0.05</v>
      </c>
      <c r="H23" s="23" t="n">
        <f aca="false">ROUND(D23*G23,0)</f>
        <v>1</v>
      </c>
      <c r="I23" s="23"/>
      <c r="J23" s="32" t="n">
        <f aca="false">IF(OR(B23="Brand / sitelink",B23="Sitelink / nav page",B23="Subdomain / www",B23="404: redirect"),0,MAX(0,H23-C23))</f>
        <v>0</v>
      </c>
    </row>
    <row r="24" customFormat="false" ht="15" hidden="false" customHeight="false" outlineLevel="0" collapsed="false">
      <c r="A24" s="26" t="s">
        <v>327</v>
      </c>
      <c r="B24" s="26" t="s">
        <v>320</v>
      </c>
      <c r="C24" s="26" t="n">
        <v>2</v>
      </c>
      <c r="D24" s="26" t="n">
        <v>1783</v>
      </c>
      <c r="E24" s="35" t="n">
        <f aca="false">IFERROR(C24/D24,0)</f>
        <v>0.00112170499158721</v>
      </c>
      <c r="F24" s="26" t="n">
        <v>6.72</v>
      </c>
      <c r="G24" s="36" t="n">
        <f aca="false">INDEX($N$5:$N$9,MATCH(F24,$M$5:$M$9,1))</f>
        <v>0.025</v>
      </c>
      <c r="H24" s="26" t="n">
        <f aca="false">ROUND(D24*G24,0)</f>
        <v>45</v>
      </c>
      <c r="I24" s="26"/>
      <c r="J24" s="37" t="n">
        <f aca="false">IF(OR(B24="Brand / sitelink",B24="Sitelink / nav page",B24="Subdomain / www",B24="404: redirect"),0,MAX(0,H24-C24))</f>
        <v>0</v>
      </c>
    </row>
    <row r="25" customFormat="false" ht="15" hidden="false" customHeight="false" outlineLevel="0" collapsed="false">
      <c r="A25" s="23" t="s">
        <v>328</v>
      </c>
      <c r="B25" s="23" t="s">
        <v>318</v>
      </c>
      <c r="C25" s="23" t="n">
        <v>2</v>
      </c>
      <c r="D25" s="23" t="n">
        <v>1420</v>
      </c>
      <c r="E25" s="30" t="n">
        <f aca="false">IFERROR(C25/D25,0)</f>
        <v>0.00140845070422535</v>
      </c>
      <c r="F25" s="23" t="n">
        <v>38.31</v>
      </c>
      <c r="G25" s="31" t="n">
        <f aca="false">INDEX($N$5:$N$9,MATCH(F25,$M$5:$M$9,1))</f>
        <v>0.003</v>
      </c>
      <c r="H25" s="23" t="n">
        <f aca="false">ROUND(D25*G25,0)</f>
        <v>4</v>
      </c>
      <c r="I25" s="23"/>
      <c r="J25" s="32" t="n">
        <f aca="false">IF(OR(B25="Brand / sitelink",B25="Sitelink / nav page",B25="Subdomain / www",B25="404: redirect"),0,MAX(0,H25-C25))</f>
        <v>2</v>
      </c>
    </row>
    <row r="26" customFormat="false" ht="15" hidden="false" customHeight="false" outlineLevel="0" collapsed="false">
      <c r="A26" s="26" t="s">
        <v>329</v>
      </c>
      <c r="B26" s="26" t="s">
        <v>320</v>
      </c>
      <c r="C26" s="26" t="n">
        <v>2</v>
      </c>
      <c r="D26" s="26" t="n">
        <v>886</v>
      </c>
      <c r="E26" s="35" t="n">
        <f aca="false">IFERROR(C26/D26,0)</f>
        <v>0.00225733634311512</v>
      </c>
      <c r="F26" s="26" t="n">
        <v>3.29</v>
      </c>
      <c r="G26" s="36" t="n">
        <f aca="false">INDEX($N$5:$N$9,MATCH(F26,$M$5:$M$9,1))</f>
        <v>0.1</v>
      </c>
      <c r="H26" s="26" t="n">
        <f aca="false">ROUND(D26*G26,0)</f>
        <v>89</v>
      </c>
      <c r="I26" s="26"/>
      <c r="J26" s="37" t="n">
        <f aca="false">IF(OR(B26="Brand / sitelink",B26="Sitelink / nav page",B26="Subdomain / www",B26="404: redirect"),0,MAX(0,H26-C26))</f>
        <v>0</v>
      </c>
    </row>
    <row r="27" customFormat="false" ht="15" hidden="false" customHeight="false" outlineLevel="0" collapsed="false">
      <c r="A27" s="23" t="s">
        <v>330</v>
      </c>
      <c r="B27" s="23" t="s">
        <v>301</v>
      </c>
      <c r="C27" s="23" t="n">
        <v>2</v>
      </c>
      <c r="D27" s="23" t="n">
        <v>344</v>
      </c>
      <c r="E27" s="30" t="n">
        <f aca="false">IFERROR(C27/D27,0)</f>
        <v>0.00581395348837209</v>
      </c>
      <c r="F27" s="23" t="n">
        <v>7.22</v>
      </c>
      <c r="G27" s="31" t="n">
        <f aca="false">INDEX($N$5:$N$9,MATCH(F27,$M$5:$M$9,1))</f>
        <v>0.025</v>
      </c>
      <c r="H27" s="23" t="n">
        <f aca="false">ROUND(D27*G27,0)</f>
        <v>9</v>
      </c>
      <c r="I27" s="23"/>
      <c r="J27" s="32" t="n">
        <f aca="false">IF(OR(B27="Brand / sitelink",B27="Sitelink / nav page",B27="Subdomain / www",B27="404: redirect"),0,MAX(0,H27-C27))</f>
        <v>7</v>
      </c>
    </row>
    <row r="28" customFormat="false" ht="22.35" hidden="false" customHeight="false" outlineLevel="0" collapsed="false">
      <c r="A28" s="26" t="s">
        <v>331</v>
      </c>
      <c r="B28" s="26" t="s">
        <v>301</v>
      </c>
      <c r="C28" s="26" t="n">
        <v>2</v>
      </c>
      <c r="D28" s="26" t="n">
        <v>246</v>
      </c>
      <c r="E28" s="35" t="n">
        <f aca="false">IFERROR(C28/D28,0)</f>
        <v>0.00813008130081301</v>
      </c>
      <c r="F28" s="26" t="n">
        <v>9.86</v>
      </c>
      <c r="G28" s="36" t="n">
        <f aca="false">INDEX($N$5:$N$9,MATCH(F28,$M$5:$M$9,1))</f>
        <v>0.025</v>
      </c>
      <c r="H28" s="26" t="n">
        <f aca="false">ROUND(D28*G28,0)</f>
        <v>6</v>
      </c>
      <c r="I28" s="26"/>
      <c r="J28" s="37" t="n">
        <f aca="false">IF(OR(B28="Brand / sitelink",B28="Sitelink / nav page",B28="Subdomain / www",B28="404: redirect"),0,MAX(0,H28-C28))</f>
        <v>4</v>
      </c>
    </row>
    <row r="29" customFormat="false" ht="15" hidden="false" customHeight="false" outlineLevel="0" collapsed="false">
      <c r="A29" s="23" t="s">
        <v>332</v>
      </c>
      <c r="B29" s="23" t="s">
        <v>306</v>
      </c>
      <c r="C29" s="23" t="n">
        <v>2</v>
      </c>
      <c r="D29" s="23" t="n">
        <v>151</v>
      </c>
      <c r="E29" s="30" t="n">
        <f aca="false">IFERROR(C29/D29,0)</f>
        <v>0.0132450331125828</v>
      </c>
      <c r="F29" s="23" t="n">
        <v>11.08</v>
      </c>
      <c r="G29" s="31" t="n">
        <f aca="false">INDEX($N$5:$N$9,MATCH(F29,$M$5:$M$9,1))</f>
        <v>0.01</v>
      </c>
      <c r="H29" s="23" t="n">
        <f aca="false">ROUND(D29*G29,0)</f>
        <v>2</v>
      </c>
      <c r="I29" s="23"/>
      <c r="J29" s="32" t="n">
        <f aca="false">IF(OR(B29="Brand / sitelink",B29="Sitelink / nav page",B29="Subdomain / www",B29="404: redirect"),0,MAX(0,H29-C29))</f>
        <v>0</v>
      </c>
    </row>
    <row r="30" customFormat="false" ht="15" hidden="false" customHeight="false" outlineLevel="0" collapsed="false">
      <c r="A30" s="26" t="s">
        <v>333</v>
      </c>
      <c r="B30" s="26" t="s">
        <v>309</v>
      </c>
      <c r="C30" s="26" t="n">
        <v>2</v>
      </c>
      <c r="D30" s="26" t="n">
        <v>60</v>
      </c>
      <c r="E30" s="35" t="n">
        <f aca="false">IFERROR(C30/D30,0)</f>
        <v>0.0333333333333333</v>
      </c>
      <c r="F30" s="26" t="n">
        <v>8.78</v>
      </c>
      <c r="G30" s="36" t="n">
        <f aca="false">INDEX($N$5:$N$9,MATCH(F30,$M$5:$M$9,1))</f>
        <v>0.025</v>
      </c>
      <c r="H30" s="26" t="n">
        <f aca="false">ROUND(D30*G30,0)</f>
        <v>2</v>
      </c>
      <c r="I30" s="26"/>
      <c r="J30" s="37" t="n">
        <f aca="false">IF(OR(B30="Brand / sitelink",B30="Sitelink / nav page",B30="Subdomain / www",B30="404: redirect"),0,MAX(0,H30-C30))</f>
        <v>0</v>
      </c>
    </row>
    <row r="31" customFormat="false" ht="15" hidden="false" customHeight="false" outlineLevel="0" collapsed="false">
      <c r="A31" s="23" t="s">
        <v>334</v>
      </c>
      <c r="B31" s="23" t="s">
        <v>311</v>
      </c>
      <c r="C31" s="23" t="n">
        <v>2</v>
      </c>
      <c r="D31" s="23" t="n">
        <v>39</v>
      </c>
      <c r="E31" s="30" t="n">
        <f aca="false">IFERROR(C31/D31,0)</f>
        <v>0.0512820512820513</v>
      </c>
      <c r="F31" s="23" t="n">
        <v>6.18</v>
      </c>
      <c r="G31" s="31" t="n">
        <f aca="false">INDEX($N$5:$N$9,MATCH(F31,$M$5:$M$9,1))</f>
        <v>0.05</v>
      </c>
      <c r="H31" s="23" t="n">
        <f aca="false">ROUND(D31*G31,0)</f>
        <v>2</v>
      </c>
      <c r="I31" s="23"/>
      <c r="J31" s="32" t="n">
        <f aca="false">IF(OR(B31="Brand / sitelink",B31="Sitelink / nav page",B31="Subdomain / www",B31="404: redirect"),0,MAX(0,H31-C31))</f>
        <v>0</v>
      </c>
    </row>
    <row r="32" customFormat="false" ht="15" hidden="false" customHeight="false" outlineLevel="0" collapsed="false">
      <c r="A32" s="26" t="s">
        <v>335</v>
      </c>
      <c r="B32" s="26" t="s">
        <v>306</v>
      </c>
      <c r="C32" s="26" t="n">
        <v>2</v>
      </c>
      <c r="D32" s="26" t="n">
        <v>11</v>
      </c>
      <c r="E32" s="35" t="n">
        <f aca="false">IFERROR(C32/D32,0)</f>
        <v>0.181818181818182</v>
      </c>
      <c r="F32" s="26" t="n">
        <v>10.91</v>
      </c>
      <c r="G32" s="36" t="n">
        <f aca="false">INDEX($N$5:$N$9,MATCH(F32,$M$5:$M$9,1))</f>
        <v>0.01</v>
      </c>
      <c r="H32" s="26" t="n">
        <f aca="false">ROUND(D32*G32,0)</f>
        <v>0</v>
      </c>
      <c r="I32" s="26"/>
      <c r="J32" s="37" t="n">
        <f aca="false">IF(OR(B32="Brand / sitelink",B32="Sitelink / nav page",B32="Subdomain / www",B32="404: redirect"),0,MAX(0,H32-C32))</f>
        <v>0</v>
      </c>
    </row>
    <row r="33" customFormat="false" ht="22.35" hidden="false" customHeight="false" outlineLevel="0" collapsed="false">
      <c r="A33" s="23" t="s">
        <v>336</v>
      </c>
      <c r="B33" s="23" t="s">
        <v>301</v>
      </c>
      <c r="C33" s="23" t="n">
        <v>1</v>
      </c>
      <c r="D33" s="23" t="n">
        <v>1700</v>
      </c>
      <c r="E33" s="30" t="n">
        <f aca="false">IFERROR(C33/D33,0)</f>
        <v>0.000588235294117647</v>
      </c>
      <c r="F33" s="23" t="n">
        <v>6.95</v>
      </c>
      <c r="G33" s="31" t="n">
        <f aca="false">INDEX($N$5:$N$9,MATCH(F33,$M$5:$M$9,1))</f>
        <v>0.025</v>
      </c>
      <c r="H33" s="23" t="n">
        <f aca="false">ROUND(D33*G33,0)</f>
        <v>43</v>
      </c>
      <c r="I33" s="23"/>
      <c r="J33" s="32" t="n">
        <f aca="false">IF(OR(B33="Brand / sitelink",B33="Sitelink / nav page",B33="Subdomain / www",B33="404: redirect"),0,MAX(0,H33-C33))</f>
        <v>42</v>
      </c>
    </row>
    <row r="34" customFormat="false" ht="22.35" hidden="false" customHeight="false" outlineLevel="0" collapsed="false">
      <c r="A34" s="26" t="s">
        <v>337</v>
      </c>
      <c r="B34" s="26" t="s">
        <v>306</v>
      </c>
      <c r="C34" s="26" t="n">
        <v>1</v>
      </c>
      <c r="D34" s="26" t="n">
        <v>674</v>
      </c>
      <c r="E34" s="35" t="n">
        <f aca="false">IFERROR(C34/D34,0)</f>
        <v>0.00148367952522255</v>
      </c>
      <c r="F34" s="26" t="n">
        <v>13.32</v>
      </c>
      <c r="G34" s="36" t="n">
        <f aca="false">INDEX($N$5:$N$9,MATCH(F34,$M$5:$M$9,1))</f>
        <v>0.01</v>
      </c>
      <c r="H34" s="26" t="n">
        <f aca="false">ROUND(D34*G34,0)</f>
        <v>7</v>
      </c>
      <c r="I34" s="26"/>
      <c r="J34" s="37" t="n">
        <f aca="false">IF(OR(B34="Brand / sitelink",B34="Sitelink / nav page",B34="Subdomain / www",B34="404: redirect"),0,MAX(0,H34-C34))</f>
        <v>6</v>
      </c>
    </row>
    <row r="35" customFormat="false" ht="15" hidden="false" customHeight="false" outlineLevel="0" collapsed="false">
      <c r="A35" s="23" t="s">
        <v>338</v>
      </c>
      <c r="B35" s="23" t="s">
        <v>306</v>
      </c>
      <c r="C35" s="23" t="n">
        <v>1</v>
      </c>
      <c r="D35" s="23" t="n">
        <v>569</v>
      </c>
      <c r="E35" s="30" t="n">
        <f aca="false">IFERROR(C35/D35,0)</f>
        <v>0.00175746924428822</v>
      </c>
      <c r="F35" s="23" t="n">
        <v>17.15</v>
      </c>
      <c r="G35" s="31" t="n">
        <f aca="false">INDEX($N$5:$N$9,MATCH(F35,$M$5:$M$9,1))</f>
        <v>0.01</v>
      </c>
      <c r="H35" s="23" t="n">
        <f aca="false">ROUND(D35*G35,0)</f>
        <v>6</v>
      </c>
      <c r="I35" s="23"/>
      <c r="J35" s="32" t="n">
        <f aca="false">IF(OR(B35="Brand / sitelink",B35="Sitelink / nav page",B35="Subdomain / www",B35="404: redirect"),0,MAX(0,H35-C35))</f>
        <v>5</v>
      </c>
    </row>
    <row r="36" customFormat="false" ht="15" hidden="false" customHeight="false" outlineLevel="0" collapsed="false">
      <c r="A36" s="26" t="s">
        <v>339</v>
      </c>
      <c r="B36" s="26" t="s">
        <v>301</v>
      </c>
      <c r="C36" s="26" t="n">
        <v>1</v>
      </c>
      <c r="D36" s="26" t="n">
        <v>289</v>
      </c>
      <c r="E36" s="35" t="n">
        <f aca="false">IFERROR(C36/D36,0)</f>
        <v>0.00346020761245675</v>
      </c>
      <c r="F36" s="26" t="n">
        <v>9.43</v>
      </c>
      <c r="G36" s="36" t="n">
        <f aca="false">INDEX($N$5:$N$9,MATCH(F36,$M$5:$M$9,1))</f>
        <v>0.025</v>
      </c>
      <c r="H36" s="26" t="n">
        <f aca="false">ROUND(D36*G36,0)</f>
        <v>7</v>
      </c>
      <c r="I36" s="26"/>
      <c r="J36" s="37" t="n">
        <f aca="false">IF(OR(B36="Brand / sitelink",B36="Sitelink / nav page",B36="Subdomain / www",B36="404: redirect"),0,MAX(0,H36-C36))</f>
        <v>6</v>
      </c>
    </row>
    <row r="37" customFormat="false" ht="22.35" hidden="false" customHeight="false" outlineLevel="0" collapsed="false">
      <c r="A37" s="23" t="s">
        <v>340</v>
      </c>
      <c r="B37" s="23" t="s">
        <v>301</v>
      </c>
      <c r="C37" s="23" t="n">
        <v>1</v>
      </c>
      <c r="D37" s="23" t="n">
        <v>142</v>
      </c>
      <c r="E37" s="30" t="n">
        <f aca="false">IFERROR(C37/D37,0)</f>
        <v>0.00704225352112676</v>
      </c>
      <c r="F37" s="23" t="n">
        <v>6.98</v>
      </c>
      <c r="G37" s="31" t="n">
        <f aca="false">INDEX($N$5:$N$9,MATCH(F37,$M$5:$M$9,1))</f>
        <v>0.025</v>
      </c>
      <c r="H37" s="23" t="n">
        <f aca="false">ROUND(D37*G37,0)</f>
        <v>4</v>
      </c>
      <c r="I37" s="23"/>
      <c r="J37" s="32" t="n">
        <f aca="false">IF(OR(B37="Brand / sitelink",B37="Sitelink / nav page",B37="Subdomain / www",B37="404: redirect"),0,MAX(0,H37-C37))</f>
        <v>3</v>
      </c>
    </row>
    <row r="38" customFormat="false" ht="15" hidden="false" customHeight="false" outlineLevel="0" collapsed="false">
      <c r="A38" s="26" t="s">
        <v>341</v>
      </c>
      <c r="B38" s="26" t="s">
        <v>301</v>
      </c>
      <c r="C38" s="26" t="n">
        <v>1</v>
      </c>
      <c r="D38" s="26" t="n">
        <v>128</v>
      </c>
      <c r="E38" s="35" t="n">
        <f aca="false">IFERROR(C38/D38,0)</f>
        <v>0.0078125</v>
      </c>
      <c r="F38" s="26" t="n">
        <v>8.35</v>
      </c>
      <c r="G38" s="36" t="n">
        <f aca="false">INDEX($N$5:$N$9,MATCH(F38,$M$5:$M$9,1))</f>
        <v>0.025</v>
      </c>
      <c r="H38" s="26" t="n">
        <f aca="false">ROUND(D38*G38,0)</f>
        <v>3</v>
      </c>
      <c r="I38" s="26"/>
      <c r="J38" s="37" t="n">
        <f aca="false">IF(OR(B38="Brand / sitelink",B38="Sitelink / nav page",B38="Subdomain / www",B38="404: redirect"),0,MAX(0,H38-C38))</f>
        <v>2</v>
      </c>
    </row>
    <row r="39" customFormat="false" ht="15" hidden="false" customHeight="false" outlineLevel="0" collapsed="false">
      <c r="A39" s="23" t="s">
        <v>342</v>
      </c>
      <c r="B39" s="23" t="s">
        <v>301</v>
      </c>
      <c r="C39" s="23" t="n">
        <v>1</v>
      </c>
      <c r="D39" s="23" t="n">
        <v>125</v>
      </c>
      <c r="E39" s="30" t="n">
        <f aca="false">IFERROR(C39/D39,0)</f>
        <v>0.008</v>
      </c>
      <c r="F39" s="23" t="n">
        <v>9.54</v>
      </c>
      <c r="G39" s="31" t="n">
        <f aca="false">INDEX($N$5:$N$9,MATCH(F39,$M$5:$M$9,1))</f>
        <v>0.025</v>
      </c>
      <c r="H39" s="23" t="n">
        <f aca="false">ROUND(D39*G39,0)</f>
        <v>3</v>
      </c>
      <c r="I39" s="23"/>
      <c r="J39" s="32" t="n">
        <f aca="false">IF(OR(B39="Brand / sitelink",B39="Sitelink / nav page",B39="Subdomain / www",B39="404: redirect"),0,MAX(0,H39-C39))</f>
        <v>2</v>
      </c>
    </row>
    <row r="40" customFormat="false" ht="22.35" hidden="false" customHeight="false" outlineLevel="0" collapsed="false">
      <c r="A40" s="26" t="s">
        <v>343</v>
      </c>
      <c r="B40" s="26" t="s">
        <v>301</v>
      </c>
      <c r="C40" s="26" t="n">
        <v>1</v>
      </c>
      <c r="D40" s="26" t="n">
        <v>120</v>
      </c>
      <c r="E40" s="35" t="n">
        <f aca="false">IFERROR(C40/D40,0)</f>
        <v>0.00833333333333333</v>
      </c>
      <c r="F40" s="26" t="n">
        <v>9</v>
      </c>
      <c r="G40" s="36" t="n">
        <f aca="false">INDEX($N$5:$N$9,MATCH(F40,$M$5:$M$9,1))</f>
        <v>0.025</v>
      </c>
      <c r="H40" s="26" t="n">
        <f aca="false">ROUND(D40*G40,0)</f>
        <v>3</v>
      </c>
      <c r="I40" s="26"/>
      <c r="J40" s="37" t="n">
        <f aca="false">IF(OR(B40="Brand / sitelink",B40="Sitelink / nav page",B40="Subdomain / www",B40="404: redirect"),0,MAX(0,H40-C40))</f>
        <v>2</v>
      </c>
    </row>
    <row r="41" customFormat="false" ht="15" hidden="false" customHeight="false" outlineLevel="0" collapsed="false">
      <c r="A41" s="23" t="s">
        <v>344</v>
      </c>
      <c r="B41" s="23" t="s">
        <v>306</v>
      </c>
      <c r="C41" s="23" t="n">
        <v>1</v>
      </c>
      <c r="D41" s="23" t="n">
        <v>113</v>
      </c>
      <c r="E41" s="30" t="n">
        <f aca="false">IFERROR(C41/D41,0)</f>
        <v>0.00884955752212389</v>
      </c>
      <c r="F41" s="23" t="n">
        <v>12.73</v>
      </c>
      <c r="G41" s="31" t="n">
        <f aca="false">INDEX($N$5:$N$9,MATCH(F41,$M$5:$M$9,1))</f>
        <v>0.01</v>
      </c>
      <c r="H41" s="23" t="n">
        <f aca="false">ROUND(D41*G41,0)</f>
        <v>1</v>
      </c>
      <c r="I41" s="23"/>
      <c r="J41" s="32" t="n">
        <f aca="false">IF(OR(B41="Brand / sitelink",B41="Sitelink / nav page",B41="Subdomain / www",B41="404: redirect"),0,MAX(0,H41-C41))</f>
        <v>0</v>
      </c>
    </row>
    <row r="42" customFormat="false" ht="15" hidden="false" customHeight="false" outlineLevel="0" collapsed="false">
      <c r="A42" s="26" t="s">
        <v>345</v>
      </c>
      <c r="B42" s="26" t="s">
        <v>301</v>
      </c>
      <c r="C42" s="26" t="n">
        <v>1</v>
      </c>
      <c r="D42" s="26" t="n">
        <v>89</v>
      </c>
      <c r="E42" s="35" t="n">
        <f aca="false">IFERROR(C42/D42,0)</f>
        <v>0.0112359550561798</v>
      </c>
      <c r="F42" s="26" t="n">
        <v>7.93</v>
      </c>
      <c r="G42" s="36" t="n">
        <f aca="false">INDEX($N$5:$N$9,MATCH(F42,$M$5:$M$9,1))</f>
        <v>0.025</v>
      </c>
      <c r="H42" s="26" t="n">
        <f aca="false">ROUND(D42*G42,0)</f>
        <v>2</v>
      </c>
      <c r="I42" s="26"/>
      <c r="J42" s="37" t="n">
        <f aca="false">IF(OR(B42="Brand / sitelink",B42="Sitelink / nav page",B42="Subdomain / www",B42="404: redirect"),0,MAX(0,H42-C42))</f>
        <v>1</v>
      </c>
    </row>
    <row r="43" customFormat="false" ht="15" hidden="false" customHeight="false" outlineLevel="0" collapsed="false">
      <c r="A43" s="23" t="s">
        <v>346</v>
      </c>
      <c r="B43" s="23" t="s">
        <v>301</v>
      </c>
      <c r="C43" s="23" t="n">
        <v>1</v>
      </c>
      <c r="D43" s="23" t="n">
        <v>70</v>
      </c>
      <c r="E43" s="30" t="n">
        <f aca="false">IFERROR(C43/D43,0)</f>
        <v>0.0142857142857143</v>
      </c>
      <c r="F43" s="23" t="n">
        <v>9.06</v>
      </c>
      <c r="G43" s="31" t="n">
        <f aca="false">INDEX($N$5:$N$9,MATCH(F43,$M$5:$M$9,1))</f>
        <v>0.025</v>
      </c>
      <c r="H43" s="23" t="n">
        <f aca="false">ROUND(D43*G43,0)</f>
        <v>2</v>
      </c>
      <c r="I43" s="23"/>
      <c r="J43" s="32" t="n">
        <f aca="false">IF(OR(B43="Brand / sitelink",B43="Sitelink / nav page",B43="Subdomain / www",B43="404: redirect"),0,MAX(0,H43-C43))</f>
        <v>1</v>
      </c>
    </row>
    <row r="44" customFormat="false" ht="15" hidden="false" customHeight="false" outlineLevel="0" collapsed="false">
      <c r="A44" s="26" t="s">
        <v>347</v>
      </c>
      <c r="B44" s="26" t="s">
        <v>301</v>
      </c>
      <c r="C44" s="26" t="n">
        <v>1</v>
      </c>
      <c r="D44" s="26" t="n">
        <v>68</v>
      </c>
      <c r="E44" s="35" t="n">
        <f aca="false">IFERROR(C44/D44,0)</f>
        <v>0.0147058823529412</v>
      </c>
      <c r="F44" s="26" t="n">
        <v>8.47</v>
      </c>
      <c r="G44" s="36" t="n">
        <f aca="false">INDEX($N$5:$N$9,MATCH(F44,$M$5:$M$9,1))</f>
        <v>0.025</v>
      </c>
      <c r="H44" s="26" t="n">
        <f aca="false">ROUND(D44*G44,0)</f>
        <v>2</v>
      </c>
      <c r="I44" s="26"/>
      <c r="J44" s="37" t="n">
        <f aca="false">IF(OR(B44="Brand / sitelink",B44="Sitelink / nav page",B44="Subdomain / www",B44="404: redirect"),0,MAX(0,H44-C44))</f>
        <v>1</v>
      </c>
    </row>
    <row r="45" customFormat="false" ht="15" hidden="false" customHeight="false" outlineLevel="0" collapsed="false">
      <c r="A45" s="23" t="s">
        <v>348</v>
      </c>
      <c r="B45" s="23" t="s">
        <v>301</v>
      </c>
      <c r="C45" s="23" t="n">
        <v>1</v>
      </c>
      <c r="D45" s="23" t="n">
        <v>64</v>
      </c>
      <c r="E45" s="30" t="n">
        <f aca="false">IFERROR(C45/D45,0)</f>
        <v>0.015625</v>
      </c>
      <c r="F45" s="23" t="n">
        <v>9.86</v>
      </c>
      <c r="G45" s="31" t="n">
        <f aca="false">INDEX($N$5:$N$9,MATCH(F45,$M$5:$M$9,1))</f>
        <v>0.025</v>
      </c>
      <c r="H45" s="23" t="n">
        <f aca="false">ROUND(D45*G45,0)</f>
        <v>2</v>
      </c>
      <c r="I45" s="23"/>
      <c r="J45" s="32" t="n">
        <f aca="false">IF(OR(B45="Brand / sitelink",B45="Sitelink / nav page",B45="Subdomain / www",B45="404: redirect"),0,MAX(0,H45-C45))</f>
        <v>1</v>
      </c>
    </row>
    <row r="46" customFormat="false" ht="15" hidden="false" customHeight="false" outlineLevel="0" collapsed="false">
      <c r="A46" s="26" t="s">
        <v>349</v>
      </c>
      <c r="B46" s="26" t="s">
        <v>306</v>
      </c>
      <c r="C46" s="26" t="n">
        <v>1</v>
      </c>
      <c r="D46" s="26" t="n">
        <v>55</v>
      </c>
      <c r="E46" s="35" t="n">
        <f aca="false">IFERROR(C46/D46,0)</f>
        <v>0.0181818181818182</v>
      </c>
      <c r="F46" s="26" t="n">
        <v>16.07</v>
      </c>
      <c r="G46" s="36" t="n">
        <f aca="false">INDEX($N$5:$N$9,MATCH(F46,$M$5:$M$9,1))</f>
        <v>0.01</v>
      </c>
      <c r="H46" s="26" t="n">
        <f aca="false">ROUND(D46*G46,0)</f>
        <v>1</v>
      </c>
      <c r="I46" s="26"/>
      <c r="J46" s="37" t="n">
        <f aca="false">IF(OR(B46="Brand / sitelink",B46="Sitelink / nav page",B46="Subdomain / www",B46="404: redirect"),0,MAX(0,H46-C46))</f>
        <v>0</v>
      </c>
    </row>
    <row r="47" customFormat="false" ht="15" hidden="false" customHeight="false" outlineLevel="0" collapsed="false">
      <c r="A47" s="23" t="s">
        <v>350</v>
      </c>
      <c r="B47" s="23" t="s">
        <v>301</v>
      </c>
      <c r="C47" s="23" t="n">
        <v>1</v>
      </c>
      <c r="D47" s="23" t="n">
        <v>52</v>
      </c>
      <c r="E47" s="30" t="n">
        <f aca="false">IFERROR(C47/D47,0)</f>
        <v>0.0192307692307692</v>
      </c>
      <c r="F47" s="23" t="n">
        <v>7.65</v>
      </c>
      <c r="G47" s="31" t="n">
        <f aca="false">INDEX($N$5:$N$9,MATCH(F47,$M$5:$M$9,1))</f>
        <v>0.025</v>
      </c>
      <c r="H47" s="23" t="n">
        <f aca="false">ROUND(D47*G47,0)</f>
        <v>1</v>
      </c>
      <c r="I47" s="23"/>
      <c r="J47" s="32" t="n">
        <f aca="false">IF(OR(B47="Brand / sitelink",B47="Sitelink / nav page",B47="Subdomain / www",B47="404: redirect"),0,MAX(0,H47-C47))</f>
        <v>0</v>
      </c>
    </row>
    <row r="48" customFormat="false" ht="15" hidden="false" customHeight="false" outlineLevel="0" collapsed="false">
      <c r="A48" s="26" t="s">
        <v>351</v>
      </c>
      <c r="B48" s="26" t="s">
        <v>309</v>
      </c>
      <c r="C48" s="26" t="n">
        <v>1</v>
      </c>
      <c r="D48" s="26" t="n">
        <v>46</v>
      </c>
      <c r="E48" s="35" t="n">
        <f aca="false">IFERROR(C48/D48,0)</f>
        <v>0.0217391304347826</v>
      </c>
      <c r="F48" s="26" t="n">
        <v>6.85</v>
      </c>
      <c r="G48" s="36" t="n">
        <f aca="false">INDEX($N$5:$N$9,MATCH(F48,$M$5:$M$9,1))</f>
        <v>0.025</v>
      </c>
      <c r="H48" s="26" t="n">
        <f aca="false">ROUND(D48*G48,0)</f>
        <v>1</v>
      </c>
      <c r="I48" s="26"/>
      <c r="J48" s="37" t="n">
        <f aca="false">IF(OR(B48="Brand / sitelink",B48="Sitelink / nav page",B48="Subdomain / www",B48="404: redirect"),0,MAX(0,H48-C48))</f>
        <v>0</v>
      </c>
    </row>
    <row r="49" customFormat="false" ht="15" hidden="false" customHeight="false" outlineLevel="0" collapsed="false">
      <c r="A49" s="23" t="s">
        <v>352</v>
      </c>
      <c r="B49" s="23" t="s">
        <v>306</v>
      </c>
      <c r="C49" s="23" t="n">
        <v>1</v>
      </c>
      <c r="D49" s="23" t="n">
        <v>46</v>
      </c>
      <c r="E49" s="30" t="n">
        <f aca="false">IFERROR(C49/D49,0)</f>
        <v>0.0217391304347826</v>
      </c>
      <c r="F49" s="23" t="n">
        <v>12.2</v>
      </c>
      <c r="G49" s="31" t="n">
        <f aca="false">INDEX($N$5:$N$9,MATCH(F49,$M$5:$M$9,1))</f>
        <v>0.01</v>
      </c>
      <c r="H49" s="23" t="n">
        <f aca="false">ROUND(D49*G49,0)</f>
        <v>0</v>
      </c>
      <c r="I49" s="23"/>
      <c r="J49" s="32" t="n">
        <f aca="false">IF(OR(B49="Brand / sitelink",B49="Sitelink / nav page",B49="Subdomain / www",B49="404: redirect"),0,MAX(0,H49-C49))</f>
        <v>0</v>
      </c>
    </row>
    <row r="50" customFormat="false" ht="22.35" hidden="false" customHeight="false" outlineLevel="0" collapsed="false">
      <c r="A50" s="26" t="s">
        <v>353</v>
      </c>
      <c r="B50" s="26" t="s">
        <v>306</v>
      </c>
      <c r="C50" s="26" t="n">
        <v>1</v>
      </c>
      <c r="D50" s="26" t="n">
        <v>45</v>
      </c>
      <c r="E50" s="35" t="n">
        <f aca="false">IFERROR(C50/D50,0)</f>
        <v>0.0222222222222222</v>
      </c>
      <c r="F50" s="26" t="n">
        <v>19.04</v>
      </c>
      <c r="G50" s="36" t="n">
        <f aca="false">INDEX($N$5:$N$9,MATCH(F50,$M$5:$M$9,1))</f>
        <v>0.01</v>
      </c>
      <c r="H50" s="26" t="n">
        <f aca="false">ROUND(D50*G50,0)</f>
        <v>0</v>
      </c>
      <c r="I50" s="26"/>
      <c r="J50" s="37" t="n">
        <f aca="false">IF(OR(B50="Brand / sitelink",B50="Sitelink / nav page",B50="Subdomain / www",B50="404: redirect"),0,MAX(0,H50-C50))</f>
        <v>0</v>
      </c>
    </row>
    <row r="51" customFormat="false" ht="15" hidden="false" customHeight="false" outlineLevel="0" collapsed="false">
      <c r="A51" s="23" t="s">
        <v>354</v>
      </c>
      <c r="B51" s="23" t="s">
        <v>309</v>
      </c>
      <c r="C51" s="23" t="n">
        <v>1</v>
      </c>
      <c r="D51" s="23" t="n">
        <v>43</v>
      </c>
      <c r="E51" s="30" t="n">
        <f aca="false">IFERROR(C51/D51,0)</f>
        <v>0.0232558139534884</v>
      </c>
      <c r="F51" s="23" t="n">
        <v>6.49</v>
      </c>
      <c r="G51" s="31" t="n">
        <f aca="false">INDEX($N$5:$N$9,MATCH(F51,$M$5:$M$9,1))</f>
        <v>0.05</v>
      </c>
      <c r="H51" s="23" t="n">
        <f aca="false">ROUND(D51*G51,0)</f>
        <v>2</v>
      </c>
      <c r="I51" s="23"/>
      <c r="J51" s="32" t="n">
        <f aca="false">IF(OR(B51="Brand / sitelink",B51="Sitelink / nav page",B51="Subdomain / www",B51="404: redirect"),0,MAX(0,H51-C51))</f>
        <v>1</v>
      </c>
    </row>
    <row r="52" customFormat="false" ht="15" hidden="false" customHeight="false" outlineLevel="0" collapsed="false">
      <c r="A52" s="26" t="s">
        <v>355</v>
      </c>
      <c r="B52" s="26" t="s">
        <v>311</v>
      </c>
      <c r="C52" s="26" t="n">
        <v>1</v>
      </c>
      <c r="D52" s="26" t="n">
        <v>40</v>
      </c>
      <c r="E52" s="35" t="n">
        <f aca="false">IFERROR(C52/D52,0)</f>
        <v>0.025</v>
      </c>
      <c r="F52" s="26" t="n">
        <v>6.88</v>
      </c>
      <c r="G52" s="36" t="n">
        <f aca="false">INDEX($N$5:$N$9,MATCH(F52,$M$5:$M$9,1))</f>
        <v>0.025</v>
      </c>
      <c r="H52" s="26" t="n">
        <f aca="false">ROUND(D52*G52,0)</f>
        <v>1</v>
      </c>
      <c r="I52" s="26"/>
      <c r="J52" s="37" t="n">
        <f aca="false">IF(OR(B52="Brand / sitelink",B52="Sitelink / nav page",B52="Subdomain / www",B52="404: redirect"),0,MAX(0,H52-C52))</f>
        <v>0</v>
      </c>
    </row>
    <row r="53" customFormat="false" ht="15" hidden="false" customHeight="false" outlineLevel="0" collapsed="false">
      <c r="A53" s="23" t="s">
        <v>356</v>
      </c>
      <c r="B53" s="23" t="s">
        <v>309</v>
      </c>
      <c r="C53" s="23" t="n">
        <v>1</v>
      </c>
      <c r="D53" s="23" t="n">
        <v>37</v>
      </c>
      <c r="E53" s="30" t="n">
        <f aca="false">IFERROR(C53/D53,0)</f>
        <v>0.027027027027027</v>
      </c>
      <c r="F53" s="23" t="n">
        <v>5.97</v>
      </c>
      <c r="G53" s="31" t="n">
        <f aca="false">INDEX($N$5:$N$9,MATCH(F53,$M$5:$M$9,1))</f>
        <v>0.05</v>
      </c>
      <c r="H53" s="23" t="n">
        <f aca="false">ROUND(D53*G53,0)</f>
        <v>2</v>
      </c>
      <c r="I53" s="23"/>
      <c r="J53" s="32" t="n">
        <f aca="false">IF(OR(B53="Brand / sitelink",B53="Sitelink / nav page",B53="Subdomain / www",B53="404: redirect"),0,MAX(0,H53-C53))</f>
        <v>1</v>
      </c>
    </row>
    <row r="54" customFormat="false" ht="15" hidden="false" customHeight="false" outlineLevel="0" collapsed="false">
      <c r="A54" s="26" t="s">
        <v>357</v>
      </c>
      <c r="B54" s="26" t="s">
        <v>309</v>
      </c>
      <c r="C54" s="26" t="n">
        <v>1</v>
      </c>
      <c r="D54" s="26" t="n">
        <v>34</v>
      </c>
      <c r="E54" s="35" t="n">
        <f aca="false">IFERROR(C54/D54,0)</f>
        <v>0.0294117647058824</v>
      </c>
      <c r="F54" s="26" t="n">
        <v>5.32</v>
      </c>
      <c r="G54" s="36" t="n">
        <f aca="false">INDEX($N$5:$N$9,MATCH(F54,$M$5:$M$9,1))</f>
        <v>0.05</v>
      </c>
      <c r="H54" s="26" t="n">
        <f aca="false">ROUND(D54*G54,0)</f>
        <v>2</v>
      </c>
      <c r="I54" s="26"/>
      <c r="J54" s="37" t="n">
        <f aca="false">IF(OR(B54="Brand / sitelink",B54="Sitelink / nav page",B54="Subdomain / www",B54="404: redirect"),0,MAX(0,H54-C54))</f>
        <v>1</v>
      </c>
    </row>
    <row r="55" customFormat="false" ht="22.35" hidden="false" customHeight="false" outlineLevel="0" collapsed="false">
      <c r="A55" s="23" t="s">
        <v>358</v>
      </c>
      <c r="B55" s="23" t="s">
        <v>306</v>
      </c>
      <c r="C55" s="23" t="n">
        <v>1</v>
      </c>
      <c r="D55" s="23" t="n">
        <v>34</v>
      </c>
      <c r="E55" s="30" t="n">
        <f aca="false">IFERROR(C55/D55,0)</f>
        <v>0.0294117647058824</v>
      </c>
      <c r="F55" s="23" t="n">
        <v>15.41</v>
      </c>
      <c r="G55" s="31" t="n">
        <f aca="false">INDEX($N$5:$N$9,MATCH(F55,$M$5:$M$9,1))</f>
        <v>0.01</v>
      </c>
      <c r="H55" s="23" t="n">
        <f aca="false">ROUND(D55*G55,0)</f>
        <v>0</v>
      </c>
      <c r="I55" s="23"/>
      <c r="J55" s="32" t="n">
        <f aca="false">IF(OR(B55="Brand / sitelink",B55="Sitelink / nav page",B55="Subdomain / www",B55="404: redirect"),0,MAX(0,H55-C55))</f>
        <v>0</v>
      </c>
    </row>
    <row r="56" customFormat="false" ht="15" hidden="false" customHeight="false" outlineLevel="0" collapsed="false">
      <c r="A56" s="26" t="s">
        <v>359</v>
      </c>
      <c r="B56" s="26" t="s">
        <v>309</v>
      </c>
      <c r="C56" s="26" t="n">
        <v>1</v>
      </c>
      <c r="D56" s="26" t="n">
        <v>32</v>
      </c>
      <c r="E56" s="35" t="n">
        <f aca="false">IFERROR(C56/D56,0)</f>
        <v>0.03125</v>
      </c>
      <c r="F56" s="26" t="n">
        <v>8.66</v>
      </c>
      <c r="G56" s="36" t="n">
        <f aca="false">INDEX($N$5:$N$9,MATCH(F56,$M$5:$M$9,1))</f>
        <v>0.025</v>
      </c>
      <c r="H56" s="26" t="n">
        <f aca="false">ROUND(D56*G56,0)</f>
        <v>1</v>
      </c>
      <c r="I56" s="26"/>
      <c r="J56" s="37" t="n">
        <f aca="false">IF(OR(B56="Brand / sitelink",B56="Sitelink / nav page",B56="Subdomain / www",B56="404: redirect"),0,MAX(0,H56-C56))</f>
        <v>0</v>
      </c>
    </row>
    <row r="57" customFormat="false" ht="15" hidden="false" customHeight="false" outlineLevel="0" collapsed="false">
      <c r="A57" s="23" t="s">
        <v>360</v>
      </c>
      <c r="B57" s="23" t="s">
        <v>309</v>
      </c>
      <c r="C57" s="23" t="n">
        <v>1</v>
      </c>
      <c r="D57" s="23" t="n">
        <v>30</v>
      </c>
      <c r="E57" s="30" t="n">
        <f aca="false">IFERROR(C57/D57,0)</f>
        <v>0.0333333333333333</v>
      </c>
      <c r="F57" s="23" t="n">
        <v>3.6</v>
      </c>
      <c r="G57" s="31" t="n">
        <f aca="false">INDEX($N$5:$N$9,MATCH(F57,$M$5:$M$9,1))</f>
        <v>0.05</v>
      </c>
      <c r="H57" s="23" t="n">
        <f aca="false">ROUND(D57*G57,0)</f>
        <v>2</v>
      </c>
      <c r="I57" s="23"/>
      <c r="J57" s="32" t="n">
        <f aca="false">IF(OR(B57="Brand / sitelink",B57="Sitelink / nav page",B57="Subdomain / www",B57="404: redirect"),0,MAX(0,H57-C57))</f>
        <v>1</v>
      </c>
    </row>
    <row r="58" customFormat="false" ht="15" hidden="false" customHeight="false" outlineLevel="0" collapsed="false">
      <c r="A58" s="26" t="s">
        <v>361</v>
      </c>
      <c r="B58" s="26" t="s">
        <v>306</v>
      </c>
      <c r="C58" s="26" t="n">
        <v>1</v>
      </c>
      <c r="D58" s="26" t="n">
        <v>25</v>
      </c>
      <c r="E58" s="35" t="n">
        <f aca="false">IFERROR(C58/D58,0)</f>
        <v>0.04</v>
      </c>
      <c r="F58" s="26" t="n">
        <v>13.92</v>
      </c>
      <c r="G58" s="36" t="n">
        <f aca="false">INDEX($N$5:$N$9,MATCH(F58,$M$5:$M$9,1))</f>
        <v>0.01</v>
      </c>
      <c r="H58" s="26" t="n">
        <f aca="false">ROUND(D58*G58,0)</f>
        <v>0</v>
      </c>
      <c r="I58" s="26"/>
      <c r="J58" s="37" t="n">
        <f aca="false">IF(OR(B58="Brand / sitelink",B58="Sitelink / nav page",B58="Subdomain / www",B58="404: redirect"),0,MAX(0,H58-C58))</f>
        <v>0</v>
      </c>
    </row>
    <row r="59" customFormat="false" ht="15" hidden="false" customHeight="false" outlineLevel="0" collapsed="false">
      <c r="A59" s="23" t="s">
        <v>362</v>
      </c>
      <c r="B59" s="23" t="s">
        <v>309</v>
      </c>
      <c r="C59" s="23" t="n">
        <v>1</v>
      </c>
      <c r="D59" s="23" t="n">
        <v>18</v>
      </c>
      <c r="E59" s="30" t="n">
        <f aca="false">IFERROR(C59/D59,0)</f>
        <v>0.0555555555555556</v>
      </c>
      <c r="F59" s="23" t="n">
        <v>5</v>
      </c>
      <c r="G59" s="31" t="n">
        <f aca="false">INDEX($N$5:$N$9,MATCH(F59,$M$5:$M$9,1))</f>
        <v>0.05</v>
      </c>
      <c r="H59" s="23" t="n">
        <f aca="false">ROUND(D59*G59,0)</f>
        <v>1</v>
      </c>
      <c r="I59" s="23"/>
      <c r="J59" s="32" t="n">
        <f aca="false">IF(OR(B59="Brand / sitelink",B59="Sitelink / nav page",B59="Subdomain / www",B59="404: redirect"),0,MAX(0,H59-C59))</f>
        <v>0</v>
      </c>
    </row>
    <row r="60" customFormat="false" ht="22.35" hidden="false" customHeight="false" outlineLevel="0" collapsed="false">
      <c r="A60" s="26" t="s">
        <v>363</v>
      </c>
      <c r="B60" s="26" t="s">
        <v>309</v>
      </c>
      <c r="C60" s="26" t="n">
        <v>1</v>
      </c>
      <c r="D60" s="26" t="n">
        <v>14</v>
      </c>
      <c r="E60" s="35" t="n">
        <f aca="false">IFERROR(C60/D60,0)</f>
        <v>0.0714285714285714</v>
      </c>
      <c r="F60" s="26" t="n">
        <v>9.14</v>
      </c>
      <c r="G60" s="36" t="n">
        <f aca="false">INDEX($N$5:$N$9,MATCH(F60,$M$5:$M$9,1))</f>
        <v>0.025</v>
      </c>
      <c r="H60" s="26" t="n">
        <f aca="false">ROUND(D60*G60,0)</f>
        <v>0</v>
      </c>
      <c r="I60" s="26"/>
      <c r="J60" s="37" t="n">
        <f aca="false">IF(OR(B60="Brand / sitelink",B60="Sitelink / nav page",B60="Subdomain / www",B60="404: redirect"),0,MAX(0,H60-C60))</f>
        <v>0</v>
      </c>
    </row>
    <row r="61" customFormat="false" ht="15" hidden="false" customHeight="false" outlineLevel="0" collapsed="false">
      <c r="A61" s="23" t="s">
        <v>364</v>
      </c>
      <c r="B61" s="23" t="s">
        <v>309</v>
      </c>
      <c r="C61" s="23" t="n">
        <v>1</v>
      </c>
      <c r="D61" s="23" t="n">
        <v>12</v>
      </c>
      <c r="E61" s="30" t="n">
        <f aca="false">IFERROR(C61/D61,0)</f>
        <v>0.0833333333333333</v>
      </c>
      <c r="F61" s="23" t="n">
        <v>5.25</v>
      </c>
      <c r="G61" s="31" t="n">
        <f aca="false">INDEX($N$5:$N$9,MATCH(F61,$M$5:$M$9,1))</f>
        <v>0.05</v>
      </c>
      <c r="H61" s="23" t="n">
        <f aca="false">ROUND(D61*G61,0)</f>
        <v>1</v>
      </c>
      <c r="I61" s="23"/>
      <c r="J61" s="32" t="n">
        <f aca="false">IF(OR(B61="Brand / sitelink",B61="Sitelink / nav page",B61="Subdomain / www",B61="404: redirect"),0,MAX(0,H61-C61))</f>
        <v>0</v>
      </c>
    </row>
    <row r="62" customFormat="false" ht="15" hidden="false" customHeight="false" outlineLevel="0" collapsed="false">
      <c r="A62" s="26" t="s">
        <v>365</v>
      </c>
      <c r="B62" s="26" t="s">
        <v>309</v>
      </c>
      <c r="C62" s="26" t="n">
        <v>1</v>
      </c>
      <c r="D62" s="26" t="n">
        <v>10</v>
      </c>
      <c r="E62" s="35" t="n">
        <f aca="false">IFERROR(C62/D62,0)</f>
        <v>0.1</v>
      </c>
      <c r="F62" s="26" t="n">
        <v>8.8</v>
      </c>
      <c r="G62" s="36" t="n">
        <f aca="false">INDEX($N$5:$N$9,MATCH(F62,$M$5:$M$9,1))</f>
        <v>0.025</v>
      </c>
      <c r="H62" s="26" t="n">
        <f aca="false">ROUND(D62*G62,0)</f>
        <v>0</v>
      </c>
      <c r="I62" s="26"/>
      <c r="J62" s="37" t="n">
        <f aca="false">IF(OR(B62="Brand / sitelink",B62="Sitelink / nav page",B62="Subdomain / www",B62="404: redirect"),0,MAX(0,H62-C62))</f>
        <v>0</v>
      </c>
    </row>
    <row r="63" customFormat="false" ht="15" hidden="false" customHeight="false" outlineLevel="0" collapsed="false">
      <c r="A63" s="23" t="s">
        <v>366</v>
      </c>
      <c r="B63" s="23" t="s">
        <v>309</v>
      </c>
      <c r="C63" s="23" t="n">
        <v>1</v>
      </c>
      <c r="D63" s="23" t="n">
        <v>6</v>
      </c>
      <c r="E63" s="30" t="n">
        <f aca="false">IFERROR(C63/D63,0)</f>
        <v>0.166666666666667</v>
      </c>
      <c r="F63" s="23" t="n">
        <v>3.83</v>
      </c>
      <c r="G63" s="31" t="n">
        <f aca="false">INDEX($N$5:$N$9,MATCH(F63,$M$5:$M$9,1))</f>
        <v>0.05</v>
      </c>
      <c r="H63" s="23" t="n">
        <f aca="false">ROUND(D63*G63,0)</f>
        <v>0</v>
      </c>
      <c r="I63" s="23"/>
      <c r="J63" s="32" t="n">
        <f aca="false">IF(OR(B63="Brand / sitelink",B63="Sitelink / nav page",B63="Subdomain / www",B63="404: redirect"),0,MAX(0,H63-C63))</f>
        <v>0</v>
      </c>
    </row>
    <row r="64" customFormat="false" ht="15" hidden="false" customHeight="false" outlineLevel="0" collapsed="false">
      <c r="A64" s="26" t="s">
        <v>367</v>
      </c>
      <c r="B64" s="26" t="s">
        <v>309</v>
      </c>
      <c r="C64" s="26" t="n">
        <v>1</v>
      </c>
      <c r="D64" s="26" t="n">
        <v>3</v>
      </c>
      <c r="E64" s="35" t="n">
        <f aca="false">IFERROR(C64/D64,0)</f>
        <v>0.333333333333333</v>
      </c>
      <c r="F64" s="26" t="n">
        <v>2.67</v>
      </c>
      <c r="G64" s="36" t="n">
        <f aca="false">INDEX($N$5:$N$9,MATCH(F64,$M$5:$M$9,1))</f>
        <v>0.1</v>
      </c>
      <c r="H64" s="26" t="n">
        <f aca="false">ROUND(D64*G64,0)</f>
        <v>0</v>
      </c>
      <c r="I64" s="26"/>
      <c r="J64" s="37" t="n">
        <f aca="false">IF(OR(B64="Brand / sitelink",B64="Sitelink / nav page",B64="Subdomain / www",B64="404: redirect"),0,MAX(0,H64-C64))</f>
        <v>0</v>
      </c>
    </row>
    <row r="65" customFormat="false" ht="22.35" hidden="false" customHeight="false" outlineLevel="0" collapsed="false">
      <c r="A65" s="23" t="s">
        <v>368</v>
      </c>
      <c r="B65" s="23" t="s">
        <v>301</v>
      </c>
      <c r="C65" s="23" t="n">
        <v>0</v>
      </c>
      <c r="D65" s="23" t="n">
        <v>1010</v>
      </c>
      <c r="E65" s="30" t="n">
        <f aca="false">IFERROR(C65/D65,0)</f>
        <v>0</v>
      </c>
      <c r="F65" s="23" t="n">
        <v>8.63</v>
      </c>
      <c r="G65" s="31" t="n">
        <f aca="false">INDEX($N$5:$N$9,MATCH(F65,$M$5:$M$9,1))</f>
        <v>0.025</v>
      </c>
      <c r="H65" s="23" t="n">
        <f aca="false">ROUND(D65*G65,0)</f>
        <v>25</v>
      </c>
      <c r="I65" s="23"/>
      <c r="J65" s="32" t="n">
        <f aca="false">IF(OR(B65="Brand / sitelink",B65="Sitelink / nav page",B65="Subdomain / www",B65="404: redirect"),0,MAX(0,H65-C65))</f>
        <v>25</v>
      </c>
    </row>
    <row r="66" customFormat="false" ht="15" hidden="false" customHeight="false" outlineLevel="0" collapsed="false">
      <c r="A66" s="26" t="s">
        <v>369</v>
      </c>
      <c r="B66" s="26" t="s">
        <v>306</v>
      </c>
      <c r="C66" s="26" t="n">
        <v>0</v>
      </c>
      <c r="D66" s="26" t="n">
        <v>885</v>
      </c>
      <c r="E66" s="35" t="n">
        <f aca="false">IFERROR(C66/D66,0)</f>
        <v>0</v>
      </c>
      <c r="F66" s="26" t="n">
        <v>19.9</v>
      </c>
      <c r="G66" s="36" t="n">
        <f aca="false">INDEX($N$5:$N$9,MATCH(F66,$M$5:$M$9,1))</f>
        <v>0.01</v>
      </c>
      <c r="H66" s="26" t="n">
        <f aca="false">ROUND(D66*G66,0)</f>
        <v>9</v>
      </c>
      <c r="I66" s="26"/>
      <c r="J66" s="37" t="n">
        <f aca="false">IF(OR(B66="Brand / sitelink",B66="Sitelink / nav page",B66="Subdomain / www",B66="404: redirect"),0,MAX(0,H66-C66))</f>
        <v>9</v>
      </c>
    </row>
    <row r="67" customFormat="false" ht="15" hidden="false" customHeight="false" outlineLevel="0" collapsed="false">
      <c r="A67" s="23" t="s">
        <v>370</v>
      </c>
      <c r="B67" s="23" t="s">
        <v>318</v>
      </c>
      <c r="C67" s="23" t="n">
        <v>0</v>
      </c>
      <c r="D67" s="23" t="n">
        <v>664</v>
      </c>
      <c r="E67" s="30" t="n">
        <f aca="false">IFERROR(C67/D67,0)</f>
        <v>0</v>
      </c>
      <c r="F67" s="23" t="n">
        <v>25.09</v>
      </c>
      <c r="G67" s="31" t="n">
        <f aca="false">INDEX($N$5:$N$9,MATCH(F67,$M$5:$M$9,1))</f>
        <v>0.003</v>
      </c>
      <c r="H67" s="23" t="n">
        <f aca="false">ROUND(D67*G67,0)</f>
        <v>2</v>
      </c>
      <c r="I67" s="23"/>
      <c r="J67" s="32" t="n">
        <f aca="false">IF(OR(B67="Brand / sitelink",B67="Sitelink / nav page",B67="Subdomain / www",B67="404: redirect"),0,MAX(0,H67-C67))</f>
        <v>2</v>
      </c>
    </row>
    <row r="68" customFormat="false" ht="15" hidden="false" customHeight="false" outlineLevel="0" collapsed="false">
      <c r="A68" s="26" t="s">
        <v>371</v>
      </c>
      <c r="B68" s="26" t="s">
        <v>318</v>
      </c>
      <c r="C68" s="26" t="n">
        <v>0</v>
      </c>
      <c r="D68" s="26" t="n">
        <v>660</v>
      </c>
      <c r="E68" s="35" t="n">
        <f aca="false">IFERROR(C68/D68,0)</f>
        <v>0</v>
      </c>
      <c r="F68" s="26" t="n">
        <v>25.07</v>
      </c>
      <c r="G68" s="36" t="n">
        <f aca="false">INDEX($N$5:$N$9,MATCH(F68,$M$5:$M$9,1))</f>
        <v>0.003</v>
      </c>
      <c r="H68" s="26" t="n">
        <f aca="false">ROUND(D68*G68,0)</f>
        <v>2</v>
      </c>
      <c r="I68" s="26"/>
      <c r="J68" s="37" t="n">
        <f aca="false">IF(OR(B68="Brand / sitelink",B68="Sitelink / nav page",B68="Subdomain / www",B68="404: redirect"),0,MAX(0,H68-C68))</f>
        <v>2</v>
      </c>
    </row>
    <row r="69" customFormat="false" ht="15" hidden="false" customHeight="false" outlineLevel="0" collapsed="false">
      <c r="A69" s="23" t="s">
        <v>372</v>
      </c>
      <c r="B69" s="23" t="s">
        <v>311</v>
      </c>
      <c r="C69" s="23" t="n">
        <v>0</v>
      </c>
      <c r="D69" s="23" t="n">
        <v>487</v>
      </c>
      <c r="E69" s="30" t="n">
        <f aca="false">IFERROR(C69/D69,0)</f>
        <v>0</v>
      </c>
      <c r="F69" s="23" t="n">
        <v>21.43</v>
      </c>
      <c r="G69" s="31" t="n">
        <f aca="false">INDEX($N$5:$N$9,MATCH(F69,$M$5:$M$9,1))</f>
        <v>0.003</v>
      </c>
      <c r="H69" s="23" t="n">
        <f aca="false">ROUND(D69*G69,0)</f>
        <v>1</v>
      </c>
      <c r="I69" s="23"/>
      <c r="J69" s="32" t="n">
        <f aca="false">IF(OR(B69="Brand / sitelink",B69="Sitelink / nav page",B69="Subdomain / www",B69="404: redirect"),0,MAX(0,H69-C69))</f>
        <v>0</v>
      </c>
    </row>
    <row r="70" customFormat="false" ht="15" hidden="false" customHeight="false" outlineLevel="0" collapsed="false">
      <c r="A70" s="26" t="s">
        <v>373</v>
      </c>
      <c r="B70" s="26" t="s">
        <v>320</v>
      </c>
      <c r="C70" s="26" t="n">
        <v>0</v>
      </c>
      <c r="D70" s="26" t="n">
        <v>427</v>
      </c>
      <c r="E70" s="35" t="n">
        <f aca="false">IFERROR(C70/D70,0)</f>
        <v>0</v>
      </c>
      <c r="F70" s="26" t="n">
        <v>5.44</v>
      </c>
      <c r="G70" s="36" t="n">
        <f aca="false">INDEX($N$5:$N$9,MATCH(F70,$M$5:$M$9,1))</f>
        <v>0.05</v>
      </c>
      <c r="H70" s="26" t="n">
        <f aca="false">ROUND(D70*G70,0)</f>
        <v>21</v>
      </c>
      <c r="I70" s="26"/>
      <c r="J70" s="37" t="n">
        <f aca="false">IF(OR(B70="Brand / sitelink",B70="Sitelink / nav page",B70="Subdomain / www",B70="404: redirect"),0,MAX(0,H70-C70))</f>
        <v>0</v>
      </c>
    </row>
    <row r="71" customFormat="false" ht="15" hidden="false" customHeight="false" outlineLevel="0" collapsed="false">
      <c r="A71" s="23" t="s">
        <v>374</v>
      </c>
      <c r="B71" s="23" t="s">
        <v>320</v>
      </c>
      <c r="C71" s="23" t="n">
        <v>0</v>
      </c>
      <c r="D71" s="23" t="n">
        <v>385</v>
      </c>
      <c r="E71" s="30" t="n">
        <f aca="false">IFERROR(C71/D71,0)</f>
        <v>0</v>
      </c>
      <c r="F71" s="23" t="n">
        <v>13.26</v>
      </c>
      <c r="G71" s="31" t="n">
        <f aca="false">INDEX($N$5:$N$9,MATCH(F71,$M$5:$M$9,1))</f>
        <v>0.01</v>
      </c>
      <c r="H71" s="23" t="n">
        <f aca="false">ROUND(D71*G71,0)</f>
        <v>4</v>
      </c>
      <c r="I71" s="23"/>
      <c r="J71" s="32" t="n">
        <f aca="false">IF(OR(B71="Brand / sitelink",B71="Sitelink / nav page",B71="Subdomain / www",B71="404: redirect"),0,MAX(0,H71-C71))</f>
        <v>0</v>
      </c>
    </row>
    <row r="72" customFormat="false" ht="22.35" hidden="false" customHeight="false" outlineLevel="0" collapsed="false">
      <c r="A72" s="26" t="s">
        <v>375</v>
      </c>
      <c r="B72" s="26" t="s">
        <v>306</v>
      </c>
      <c r="C72" s="26" t="n">
        <v>0</v>
      </c>
      <c r="D72" s="26" t="n">
        <v>316</v>
      </c>
      <c r="E72" s="35" t="n">
        <f aca="false">IFERROR(C72/D72,0)</f>
        <v>0</v>
      </c>
      <c r="F72" s="26" t="n">
        <v>13.31</v>
      </c>
      <c r="G72" s="36" t="n">
        <f aca="false">INDEX($N$5:$N$9,MATCH(F72,$M$5:$M$9,1))</f>
        <v>0.01</v>
      </c>
      <c r="H72" s="26" t="n">
        <f aca="false">ROUND(D72*G72,0)</f>
        <v>3</v>
      </c>
      <c r="I72" s="26"/>
      <c r="J72" s="37" t="n">
        <f aca="false">IF(OR(B72="Brand / sitelink",B72="Sitelink / nav page",B72="Subdomain / www",B72="404: redirect"),0,MAX(0,H72-C72))</f>
        <v>3</v>
      </c>
    </row>
    <row r="73" customFormat="false" ht="22.35" hidden="false" customHeight="false" outlineLevel="0" collapsed="false">
      <c r="A73" s="23" t="s">
        <v>376</v>
      </c>
      <c r="B73" s="23" t="s">
        <v>318</v>
      </c>
      <c r="C73" s="23" t="n">
        <v>0</v>
      </c>
      <c r="D73" s="23" t="n">
        <v>311</v>
      </c>
      <c r="E73" s="30" t="n">
        <f aca="false">IFERROR(C73/D73,0)</f>
        <v>0</v>
      </c>
      <c r="F73" s="23" t="n">
        <v>37.39</v>
      </c>
      <c r="G73" s="31" t="n">
        <f aca="false">INDEX($N$5:$N$9,MATCH(F73,$M$5:$M$9,1))</f>
        <v>0.003</v>
      </c>
      <c r="H73" s="23" t="n">
        <f aca="false">ROUND(D73*G73,0)</f>
        <v>1</v>
      </c>
      <c r="I73" s="23"/>
      <c r="J73" s="32" t="n">
        <f aca="false">IF(OR(B73="Brand / sitelink",B73="Sitelink / nav page",B73="Subdomain / www",B73="404: redirect"),0,MAX(0,H73-C73))</f>
        <v>1</v>
      </c>
    </row>
    <row r="74" customFormat="false" ht="15" hidden="false" customHeight="false" outlineLevel="0" collapsed="false">
      <c r="A74" s="26" t="s">
        <v>377</v>
      </c>
      <c r="B74" s="26" t="s">
        <v>320</v>
      </c>
      <c r="C74" s="26" t="n">
        <v>0</v>
      </c>
      <c r="D74" s="26" t="n">
        <v>258</v>
      </c>
      <c r="E74" s="35" t="n">
        <f aca="false">IFERROR(C74/D74,0)</f>
        <v>0</v>
      </c>
      <c r="F74" s="26" t="n">
        <v>6.36</v>
      </c>
      <c r="G74" s="36" t="n">
        <f aca="false">INDEX($N$5:$N$9,MATCH(F74,$M$5:$M$9,1))</f>
        <v>0.05</v>
      </c>
      <c r="H74" s="26" t="n">
        <f aca="false">ROUND(D74*G74,0)</f>
        <v>13</v>
      </c>
      <c r="I74" s="26"/>
      <c r="J74" s="37" t="n">
        <f aca="false">IF(OR(B74="Brand / sitelink",B74="Sitelink / nav page",B74="Subdomain / www",B74="404: redirect"),0,MAX(0,H74-C74))</f>
        <v>0</v>
      </c>
    </row>
    <row r="75" customFormat="false" ht="15" hidden="false" customHeight="false" outlineLevel="0" collapsed="false">
      <c r="A75" s="23" t="s">
        <v>378</v>
      </c>
      <c r="B75" s="23" t="s">
        <v>306</v>
      </c>
      <c r="C75" s="23" t="n">
        <v>0</v>
      </c>
      <c r="D75" s="23" t="n">
        <v>248</v>
      </c>
      <c r="E75" s="30" t="n">
        <f aca="false">IFERROR(C75/D75,0)</f>
        <v>0</v>
      </c>
      <c r="F75" s="23" t="n">
        <v>16.73</v>
      </c>
      <c r="G75" s="31" t="n">
        <f aca="false">INDEX($N$5:$N$9,MATCH(F75,$M$5:$M$9,1))</f>
        <v>0.01</v>
      </c>
      <c r="H75" s="23" t="n">
        <f aca="false">ROUND(D75*G75,0)</f>
        <v>2</v>
      </c>
      <c r="I75" s="23"/>
      <c r="J75" s="32" t="n">
        <f aca="false">IF(OR(B75="Brand / sitelink",B75="Sitelink / nav page",B75="Subdomain / www",B75="404: redirect"),0,MAX(0,H75-C75))</f>
        <v>2</v>
      </c>
    </row>
    <row r="76" customFormat="false" ht="15" hidden="false" customHeight="false" outlineLevel="0" collapsed="false">
      <c r="A76" s="26" t="s">
        <v>379</v>
      </c>
      <c r="B76" s="26" t="s">
        <v>306</v>
      </c>
      <c r="C76" s="26" t="n">
        <v>0</v>
      </c>
      <c r="D76" s="26" t="n">
        <v>243</v>
      </c>
      <c r="E76" s="35" t="n">
        <f aca="false">IFERROR(C76/D76,0)</f>
        <v>0</v>
      </c>
      <c r="F76" s="26" t="n">
        <v>12.43</v>
      </c>
      <c r="G76" s="36" t="n">
        <f aca="false">INDEX($N$5:$N$9,MATCH(F76,$M$5:$M$9,1))</f>
        <v>0.01</v>
      </c>
      <c r="H76" s="26" t="n">
        <f aca="false">ROUND(D76*G76,0)</f>
        <v>2</v>
      </c>
      <c r="I76" s="26"/>
      <c r="J76" s="37" t="n">
        <f aca="false">IF(OR(B76="Brand / sitelink",B76="Sitelink / nav page",B76="Subdomain / www",B76="404: redirect"),0,MAX(0,H76-C76))</f>
        <v>2</v>
      </c>
    </row>
    <row r="77" customFormat="false" ht="15" hidden="false" customHeight="false" outlineLevel="0" collapsed="false">
      <c r="A77" s="23" t="s">
        <v>380</v>
      </c>
      <c r="B77" s="23" t="s">
        <v>306</v>
      </c>
      <c r="C77" s="23" t="n">
        <v>0</v>
      </c>
      <c r="D77" s="23" t="n">
        <v>209</v>
      </c>
      <c r="E77" s="30" t="n">
        <f aca="false">IFERROR(C77/D77,0)</f>
        <v>0</v>
      </c>
      <c r="F77" s="23" t="n">
        <v>13.23</v>
      </c>
      <c r="G77" s="31" t="n">
        <f aca="false">INDEX($N$5:$N$9,MATCH(F77,$M$5:$M$9,1))</f>
        <v>0.01</v>
      </c>
      <c r="H77" s="23" t="n">
        <f aca="false">ROUND(D77*G77,0)</f>
        <v>2</v>
      </c>
      <c r="I77" s="23"/>
      <c r="J77" s="32" t="n">
        <f aca="false">IF(OR(B77="Brand / sitelink",B77="Sitelink / nav page",B77="Subdomain / www",B77="404: redirect"),0,MAX(0,H77-C77))</f>
        <v>2</v>
      </c>
    </row>
    <row r="78" customFormat="false" ht="15" hidden="false" customHeight="false" outlineLevel="0" collapsed="false">
      <c r="A78" s="26" t="s">
        <v>381</v>
      </c>
      <c r="B78" s="26" t="s">
        <v>306</v>
      </c>
      <c r="C78" s="26" t="n">
        <v>0</v>
      </c>
      <c r="D78" s="26" t="n">
        <v>190</v>
      </c>
      <c r="E78" s="35" t="n">
        <f aca="false">IFERROR(C78/D78,0)</f>
        <v>0</v>
      </c>
      <c r="F78" s="26" t="n">
        <v>11.25</v>
      </c>
      <c r="G78" s="36" t="n">
        <f aca="false">INDEX($N$5:$N$9,MATCH(F78,$M$5:$M$9,1))</f>
        <v>0.01</v>
      </c>
      <c r="H78" s="26" t="n">
        <f aca="false">ROUND(D78*G78,0)</f>
        <v>2</v>
      </c>
      <c r="I78" s="26"/>
      <c r="J78" s="37" t="n">
        <f aca="false">IF(OR(B78="Brand / sitelink",B78="Sitelink / nav page",B78="Subdomain / www",B78="404: redirect"),0,MAX(0,H78-C78))</f>
        <v>2</v>
      </c>
    </row>
    <row r="79" customFormat="false" ht="15" hidden="false" customHeight="false" outlineLevel="0" collapsed="false">
      <c r="A79" s="23" t="s">
        <v>382</v>
      </c>
      <c r="B79" s="23" t="s">
        <v>306</v>
      </c>
      <c r="C79" s="23" t="n">
        <v>0</v>
      </c>
      <c r="D79" s="23" t="n">
        <v>185</v>
      </c>
      <c r="E79" s="30" t="n">
        <f aca="false">IFERROR(C79/D79,0)</f>
        <v>0</v>
      </c>
      <c r="F79" s="23" t="n">
        <v>12.19</v>
      </c>
      <c r="G79" s="31" t="n">
        <f aca="false">INDEX($N$5:$N$9,MATCH(F79,$M$5:$M$9,1))</f>
        <v>0.01</v>
      </c>
      <c r="H79" s="23" t="n">
        <f aca="false">ROUND(D79*G79,0)</f>
        <v>2</v>
      </c>
      <c r="I79" s="23"/>
      <c r="J79" s="32" t="n">
        <f aca="false">IF(OR(B79="Brand / sitelink",B79="Sitelink / nav page",B79="Subdomain / www",B79="404: redirect"),0,MAX(0,H79-C79))</f>
        <v>2</v>
      </c>
    </row>
    <row r="80" customFormat="false" ht="15" hidden="false" customHeight="false" outlineLevel="0" collapsed="false">
      <c r="A80" s="26" t="s">
        <v>383</v>
      </c>
      <c r="B80" s="26" t="s">
        <v>301</v>
      </c>
      <c r="C80" s="26" t="n">
        <v>0</v>
      </c>
      <c r="D80" s="26" t="n">
        <v>183</v>
      </c>
      <c r="E80" s="35" t="n">
        <f aca="false">IFERROR(C80/D80,0)</f>
        <v>0</v>
      </c>
      <c r="F80" s="26" t="n">
        <v>9.33</v>
      </c>
      <c r="G80" s="36" t="n">
        <f aca="false">INDEX($N$5:$N$9,MATCH(F80,$M$5:$M$9,1))</f>
        <v>0.025</v>
      </c>
      <c r="H80" s="26" t="n">
        <f aca="false">ROUND(D80*G80,0)</f>
        <v>5</v>
      </c>
      <c r="I80" s="26"/>
      <c r="J80" s="37" t="n">
        <f aca="false">IF(OR(B80="Brand / sitelink",B80="Sitelink / nav page",B80="Subdomain / www",B80="404: redirect"),0,MAX(0,H80-C80))</f>
        <v>5</v>
      </c>
    </row>
    <row r="81" customFormat="false" ht="15" hidden="false" customHeight="false" outlineLevel="0" collapsed="false">
      <c r="A81" s="23" t="s">
        <v>384</v>
      </c>
      <c r="B81" s="23" t="s">
        <v>301</v>
      </c>
      <c r="C81" s="23" t="n">
        <v>0</v>
      </c>
      <c r="D81" s="23" t="n">
        <v>154</v>
      </c>
      <c r="E81" s="30" t="n">
        <f aca="false">IFERROR(C81/D81,0)</f>
        <v>0</v>
      </c>
      <c r="F81" s="23" t="n">
        <v>8.42</v>
      </c>
      <c r="G81" s="31" t="n">
        <f aca="false">INDEX($N$5:$N$9,MATCH(F81,$M$5:$M$9,1))</f>
        <v>0.025</v>
      </c>
      <c r="H81" s="23" t="n">
        <f aca="false">ROUND(D81*G81,0)</f>
        <v>4</v>
      </c>
      <c r="I81" s="23"/>
      <c r="J81" s="32" t="n">
        <f aca="false">IF(OR(B81="Brand / sitelink",B81="Sitelink / nav page",B81="Subdomain / www",B81="404: redirect"),0,MAX(0,H81-C81))</f>
        <v>4</v>
      </c>
    </row>
    <row r="82" customFormat="false" ht="15" hidden="false" customHeight="false" outlineLevel="0" collapsed="false">
      <c r="A82" s="26" t="s">
        <v>385</v>
      </c>
      <c r="B82" s="26" t="s">
        <v>301</v>
      </c>
      <c r="C82" s="26" t="n">
        <v>0</v>
      </c>
      <c r="D82" s="26" t="n">
        <v>147</v>
      </c>
      <c r="E82" s="35" t="n">
        <f aca="false">IFERROR(C82/D82,0)</f>
        <v>0</v>
      </c>
      <c r="F82" s="26" t="n">
        <v>4.07</v>
      </c>
      <c r="G82" s="36" t="n">
        <f aca="false">INDEX($N$5:$N$9,MATCH(F82,$M$5:$M$9,1))</f>
        <v>0.05</v>
      </c>
      <c r="H82" s="26" t="n">
        <f aca="false">ROUND(D82*G82,0)</f>
        <v>7</v>
      </c>
      <c r="I82" s="26"/>
      <c r="J82" s="37" t="n">
        <f aca="false">IF(OR(B82="Brand / sitelink",B82="Sitelink / nav page",B82="Subdomain / www",B82="404: redirect"),0,MAX(0,H82-C82))</f>
        <v>7</v>
      </c>
    </row>
    <row r="83" customFormat="false" ht="15" hidden="false" customHeight="false" outlineLevel="0" collapsed="false">
      <c r="A83" s="23" t="s">
        <v>386</v>
      </c>
      <c r="B83" s="23" t="s">
        <v>306</v>
      </c>
      <c r="C83" s="23" t="n">
        <v>0</v>
      </c>
      <c r="D83" s="23" t="n">
        <v>147</v>
      </c>
      <c r="E83" s="30" t="n">
        <f aca="false">IFERROR(C83/D83,0)</f>
        <v>0</v>
      </c>
      <c r="F83" s="23" t="n">
        <v>10.3</v>
      </c>
      <c r="G83" s="31" t="n">
        <f aca="false">INDEX($N$5:$N$9,MATCH(F83,$M$5:$M$9,1))</f>
        <v>0.025</v>
      </c>
      <c r="H83" s="23" t="n">
        <f aca="false">ROUND(D83*G83,0)</f>
        <v>4</v>
      </c>
      <c r="I83" s="23"/>
      <c r="J83" s="32" t="n">
        <f aca="false">IF(OR(B83="Brand / sitelink",B83="Sitelink / nav page",B83="Subdomain / www",B83="404: redirect"),0,MAX(0,H83-C83))</f>
        <v>4</v>
      </c>
    </row>
    <row r="84" customFormat="false" ht="15" hidden="false" customHeight="false" outlineLevel="0" collapsed="false">
      <c r="A84" s="26" t="s">
        <v>387</v>
      </c>
      <c r="B84" s="26" t="s">
        <v>306</v>
      </c>
      <c r="C84" s="26" t="n">
        <v>0</v>
      </c>
      <c r="D84" s="26" t="n">
        <v>144</v>
      </c>
      <c r="E84" s="35" t="n">
        <f aca="false">IFERROR(C84/D84,0)</f>
        <v>0</v>
      </c>
      <c r="F84" s="26" t="n">
        <v>18.83</v>
      </c>
      <c r="G84" s="36" t="n">
        <f aca="false">INDEX($N$5:$N$9,MATCH(F84,$M$5:$M$9,1))</f>
        <v>0.01</v>
      </c>
      <c r="H84" s="26" t="n">
        <f aca="false">ROUND(D84*G84,0)</f>
        <v>1</v>
      </c>
      <c r="I84" s="26"/>
      <c r="J84" s="37" t="n">
        <f aca="false">IF(OR(B84="Brand / sitelink",B84="Sitelink / nav page",B84="Subdomain / www",B84="404: redirect"),0,MAX(0,H84-C84))</f>
        <v>1</v>
      </c>
    </row>
    <row r="85" customFormat="false" ht="22.35" hidden="false" customHeight="false" outlineLevel="0" collapsed="false">
      <c r="A85" s="23" t="s">
        <v>388</v>
      </c>
      <c r="B85" s="23" t="s">
        <v>306</v>
      </c>
      <c r="C85" s="23" t="n">
        <v>0</v>
      </c>
      <c r="D85" s="23" t="n">
        <v>138</v>
      </c>
      <c r="E85" s="30" t="n">
        <f aca="false">IFERROR(C85/D85,0)</f>
        <v>0</v>
      </c>
      <c r="F85" s="23" t="n">
        <v>15.8</v>
      </c>
      <c r="G85" s="31" t="n">
        <f aca="false">INDEX($N$5:$N$9,MATCH(F85,$M$5:$M$9,1))</f>
        <v>0.01</v>
      </c>
      <c r="H85" s="23" t="n">
        <f aca="false">ROUND(D85*G85,0)</f>
        <v>1</v>
      </c>
      <c r="I85" s="23"/>
      <c r="J85" s="32" t="n">
        <f aca="false">IF(OR(B85="Brand / sitelink",B85="Sitelink / nav page",B85="Subdomain / www",B85="404: redirect"),0,MAX(0,H85-C85))</f>
        <v>1</v>
      </c>
    </row>
    <row r="86" customFormat="false" ht="22.35" hidden="false" customHeight="false" outlineLevel="0" collapsed="false">
      <c r="A86" s="26" t="s">
        <v>389</v>
      </c>
      <c r="B86" s="26" t="s">
        <v>301</v>
      </c>
      <c r="C86" s="26" t="n">
        <v>0</v>
      </c>
      <c r="D86" s="26" t="n">
        <v>133</v>
      </c>
      <c r="E86" s="35" t="n">
        <f aca="false">IFERROR(C86/D86,0)</f>
        <v>0</v>
      </c>
      <c r="F86" s="26" t="n">
        <v>9.5</v>
      </c>
      <c r="G86" s="36" t="n">
        <f aca="false">INDEX($N$5:$N$9,MATCH(F86,$M$5:$M$9,1))</f>
        <v>0.025</v>
      </c>
      <c r="H86" s="26" t="n">
        <f aca="false">ROUND(D86*G86,0)</f>
        <v>3</v>
      </c>
      <c r="I86" s="26"/>
      <c r="J86" s="37" t="n">
        <f aca="false">IF(OR(B86="Brand / sitelink",B86="Sitelink / nav page",B86="Subdomain / www",B86="404: redirect"),0,MAX(0,H86-C86))</f>
        <v>3</v>
      </c>
    </row>
    <row r="87" customFormat="false" ht="15" hidden="false" customHeight="false" outlineLevel="0" collapsed="false">
      <c r="A87" s="23" t="s">
        <v>390</v>
      </c>
      <c r="B87" s="23" t="s">
        <v>306</v>
      </c>
      <c r="C87" s="23" t="n">
        <v>0</v>
      </c>
      <c r="D87" s="23" t="n">
        <v>124</v>
      </c>
      <c r="E87" s="30" t="n">
        <f aca="false">IFERROR(C87/D87,0)</f>
        <v>0</v>
      </c>
      <c r="F87" s="23" t="n">
        <v>14.52</v>
      </c>
      <c r="G87" s="31" t="n">
        <f aca="false">INDEX($N$5:$N$9,MATCH(F87,$M$5:$M$9,1))</f>
        <v>0.01</v>
      </c>
      <c r="H87" s="23" t="n">
        <f aca="false">ROUND(D87*G87,0)</f>
        <v>1</v>
      </c>
      <c r="I87" s="23"/>
      <c r="J87" s="32" t="n">
        <f aca="false">IF(OR(B87="Brand / sitelink",B87="Sitelink / nav page",B87="Subdomain / www",B87="404: redirect"),0,MAX(0,H87-C87))</f>
        <v>1</v>
      </c>
    </row>
    <row r="88" customFormat="false" ht="15" hidden="false" customHeight="false" outlineLevel="0" collapsed="false">
      <c r="A88" s="26" t="s">
        <v>391</v>
      </c>
      <c r="B88" s="26" t="s">
        <v>306</v>
      </c>
      <c r="C88" s="26" t="n">
        <v>0</v>
      </c>
      <c r="D88" s="26" t="n">
        <v>122</v>
      </c>
      <c r="E88" s="35" t="n">
        <f aca="false">IFERROR(C88/D88,0)</f>
        <v>0</v>
      </c>
      <c r="F88" s="26" t="n">
        <v>11.83</v>
      </c>
      <c r="G88" s="36" t="n">
        <f aca="false">INDEX($N$5:$N$9,MATCH(F88,$M$5:$M$9,1))</f>
        <v>0.01</v>
      </c>
      <c r="H88" s="26" t="n">
        <f aca="false">ROUND(D88*G88,0)</f>
        <v>1</v>
      </c>
      <c r="I88" s="26"/>
      <c r="J88" s="37" t="n">
        <f aca="false">IF(OR(B88="Brand / sitelink",B88="Sitelink / nav page",B88="Subdomain / www",B88="404: redirect"),0,MAX(0,H88-C88))</f>
        <v>1</v>
      </c>
    </row>
    <row r="89" customFormat="false" ht="22.35" hidden="false" customHeight="false" outlineLevel="0" collapsed="false">
      <c r="A89" s="23" t="s">
        <v>392</v>
      </c>
      <c r="B89" s="23" t="s">
        <v>301</v>
      </c>
      <c r="C89" s="23" t="n">
        <v>0</v>
      </c>
      <c r="D89" s="23" t="n">
        <v>101</v>
      </c>
      <c r="E89" s="30" t="n">
        <f aca="false">IFERROR(C89/D89,0)</f>
        <v>0</v>
      </c>
      <c r="F89" s="23" t="n">
        <v>9.46</v>
      </c>
      <c r="G89" s="31" t="n">
        <f aca="false">INDEX($N$5:$N$9,MATCH(F89,$M$5:$M$9,1))</f>
        <v>0.025</v>
      </c>
      <c r="H89" s="23" t="n">
        <f aca="false">ROUND(D89*G89,0)</f>
        <v>3</v>
      </c>
      <c r="I89" s="23"/>
      <c r="J89" s="32" t="n">
        <f aca="false">IF(OR(B89="Brand / sitelink",B89="Sitelink / nav page",B89="Subdomain / www",B89="404: redirect"),0,MAX(0,H89-C89))</f>
        <v>3</v>
      </c>
    </row>
    <row r="90" customFormat="false" ht="15" hidden="false" customHeight="false" outlineLevel="0" collapsed="false">
      <c r="A90" s="26" t="s">
        <v>393</v>
      </c>
      <c r="B90" s="26" t="s">
        <v>306</v>
      </c>
      <c r="C90" s="26" t="n">
        <v>0</v>
      </c>
      <c r="D90" s="26" t="n">
        <v>89</v>
      </c>
      <c r="E90" s="35" t="n">
        <f aca="false">IFERROR(C90/D90,0)</f>
        <v>0</v>
      </c>
      <c r="F90" s="26" t="n">
        <v>10.01</v>
      </c>
      <c r="G90" s="36" t="n">
        <f aca="false">INDEX($N$5:$N$9,MATCH(F90,$M$5:$M$9,1))</f>
        <v>0.025</v>
      </c>
      <c r="H90" s="26" t="n">
        <f aca="false">ROUND(D90*G90,0)</f>
        <v>2</v>
      </c>
      <c r="I90" s="26"/>
      <c r="J90" s="37" t="n">
        <f aca="false">IF(OR(B90="Brand / sitelink",B90="Sitelink / nav page",B90="Subdomain / www",B90="404: redirect"),0,MAX(0,H90-C90))</f>
        <v>2</v>
      </c>
    </row>
    <row r="91" customFormat="false" ht="15" hidden="false" customHeight="false" outlineLevel="0" collapsed="false">
      <c r="A91" s="23" t="s">
        <v>394</v>
      </c>
      <c r="B91" s="23" t="s">
        <v>301</v>
      </c>
      <c r="C91" s="23" t="n">
        <v>0</v>
      </c>
      <c r="D91" s="23" t="n">
        <v>87</v>
      </c>
      <c r="E91" s="30" t="n">
        <f aca="false">IFERROR(C91/D91,0)</f>
        <v>0</v>
      </c>
      <c r="F91" s="23" t="n">
        <v>8.79</v>
      </c>
      <c r="G91" s="31" t="n">
        <f aca="false">INDEX($N$5:$N$9,MATCH(F91,$M$5:$M$9,1))</f>
        <v>0.025</v>
      </c>
      <c r="H91" s="23" t="n">
        <f aca="false">ROUND(D91*G91,0)</f>
        <v>2</v>
      </c>
      <c r="I91" s="23"/>
      <c r="J91" s="32" t="n">
        <f aca="false">IF(OR(B91="Brand / sitelink",B91="Sitelink / nav page",B91="Subdomain / www",B91="404: redirect"),0,MAX(0,H91-C91))</f>
        <v>2</v>
      </c>
    </row>
    <row r="92" customFormat="false" ht="15" hidden="false" customHeight="false" outlineLevel="0" collapsed="false">
      <c r="A92" s="26" t="s">
        <v>395</v>
      </c>
      <c r="B92" s="26" t="s">
        <v>301</v>
      </c>
      <c r="C92" s="26" t="n">
        <v>0</v>
      </c>
      <c r="D92" s="26" t="n">
        <v>86</v>
      </c>
      <c r="E92" s="35" t="n">
        <f aca="false">IFERROR(C92/D92,0)</f>
        <v>0</v>
      </c>
      <c r="F92" s="26" t="n">
        <v>8.77</v>
      </c>
      <c r="G92" s="36" t="n">
        <f aca="false">INDEX($N$5:$N$9,MATCH(F92,$M$5:$M$9,1))</f>
        <v>0.025</v>
      </c>
      <c r="H92" s="26" t="n">
        <f aca="false">ROUND(D92*G92,0)</f>
        <v>2</v>
      </c>
      <c r="I92" s="26"/>
      <c r="J92" s="37" t="n">
        <f aca="false">IF(OR(B92="Brand / sitelink",B92="Sitelink / nav page",B92="Subdomain / www",B92="404: redirect"),0,MAX(0,H92-C92))</f>
        <v>2</v>
      </c>
    </row>
    <row r="93" customFormat="false" ht="15" hidden="false" customHeight="false" outlineLevel="0" collapsed="false">
      <c r="A93" s="23" t="s">
        <v>396</v>
      </c>
      <c r="B93" s="23" t="s">
        <v>306</v>
      </c>
      <c r="C93" s="23" t="n">
        <v>0</v>
      </c>
      <c r="D93" s="23" t="n">
        <v>81</v>
      </c>
      <c r="E93" s="30" t="n">
        <f aca="false">IFERROR(C93/D93,0)</f>
        <v>0</v>
      </c>
      <c r="F93" s="23" t="n">
        <v>11.07</v>
      </c>
      <c r="G93" s="31" t="n">
        <f aca="false">INDEX($N$5:$N$9,MATCH(F93,$M$5:$M$9,1))</f>
        <v>0.01</v>
      </c>
      <c r="H93" s="23" t="n">
        <f aca="false">ROUND(D93*G93,0)</f>
        <v>1</v>
      </c>
      <c r="I93" s="23"/>
      <c r="J93" s="32" t="n">
        <f aca="false">IF(OR(B93="Brand / sitelink",B93="Sitelink / nav page",B93="Subdomain / www",B93="404: redirect"),0,MAX(0,H93-C93))</f>
        <v>1</v>
      </c>
    </row>
    <row r="94" customFormat="false" ht="15" hidden="false" customHeight="false" outlineLevel="0" collapsed="false">
      <c r="A94" s="26" t="s">
        <v>397</v>
      </c>
      <c r="B94" s="26" t="s">
        <v>301</v>
      </c>
      <c r="C94" s="26" t="n">
        <v>0</v>
      </c>
      <c r="D94" s="26" t="n">
        <v>80</v>
      </c>
      <c r="E94" s="35" t="n">
        <f aca="false">IFERROR(C94/D94,0)</f>
        <v>0</v>
      </c>
      <c r="F94" s="26" t="n">
        <v>9.7</v>
      </c>
      <c r="G94" s="36" t="n">
        <f aca="false">INDEX($N$5:$N$9,MATCH(F94,$M$5:$M$9,1))</f>
        <v>0.025</v>
      </c>
      <c r="H94" s="26" t="n">
        <f aca="false">ROUND(D94*G94,0)</f>
        <v>2</v>
      </c>
      <c r="I94" s="26"/>
      <c r="J94" s="37" t="n">
        <f aca="false">IF(OR(B94="Brand / sitelink",B94="Sitelink / nav page",B94="Subdomain / www",B94="404: redirect"),0,MAX(0,H94-C94))</f>
        <v>2</v>
      </c>
    </row>
    <row r="95" customFormat="false" ht="15" hidden="false" customHeight="false" outlineLevel="0" collapsed="false">
      <c r="A95" s="23" t="s">
        <v>398</v>
      </c>
      <c r="B95" s="23" t="s">
        <v>306</v>
      </c>
      <c r="C95" s="23" t="n">
        <v>0</v>
      </c>
      <c r="D95" s="23" t="n">
        <v>78</v>
      </c>
      <c r="E95" s="30" t="n">
        <f aca="false">IFERROR(C95/D95,0)</f>
        <v>0</v>
      </c>
      <c r="F95" s="23" t="n">
        <v>10.31</v>
      </c>
      <c r="G95" s="31" t="n">
        <f aca="false">INDEX($N$5:$N$9,MATCH(F95,$M$5:$M$9,1))</f>
        <v>0.025</v>
      </c>
      <c r="H95" s="23" t="n">
        <f aca="false">ROUND(D95*G95,0)</f>
        <v>2</v>
      </c>
      <c r="I95" s="23"/>
      <c r="J95" s="32" t="n">
        <f aca="false">IF(OR(B95="Brand / sitelink",B95="Sitelink / nav page",B95="Subdomain / www",B95="404: redirect"),0,MAX(0,H95-C95))</f>
        <v>2</v>
      </c>
    </row>
    <row r="96" customFormat="false" ht="15" hidden="false" customHeight="false" outlineLevel="0" collapsed="false">
      <c r="A96" s="26" t="s">
        <v>399</v>
      </c>
      <c r="B96" s="26" t="s">
        <v>306</v>
      </c>
      <c r="C96" s="26" t="n">
        <v>0</v>
      </c>
      <c r="D96" s="26" t="n">
        <v>65</v>
      </c>
      <c r="E96" s="35" t="n">
        <f aca="false">IFERROR(C96/D96,0)</f>
        <v>0</v>
      </c>
      <c r="F96" s="26" t="n">
        <v>10.85</v>
      </c>
      <c r="G96" s="36" t="n">
        <f aca="false">INDEX($N$5:$N$9,MATCH(F96,$M$5:$M$9,1))</f>
        <v>0.01</v>
      </c>
      <c r="H96" s="26" t="n">
        <f aca="false">ROUND(D96*G96,0)</f>
        <v>1</v>
      </c>
      <c r="I96" s="26"/>
      <c r="J96" s="37" t="n">
        <f aca="false">IF(OR(B96="Brand / sitelink",B96="Sitelink / nav page",B96="Subdomain / www",B96="404: redirect"),0,MAX(0,H96-C96))</f>
        <v>1</v>
      </c>
    </row>
    <row r="97" customFormat="false" ht="15" hidden="false" customHeight="false" outlineLevel="0" collapsed="false">
      <c r="A97" s="23" t="s">
        <v>400</v>
      </c>
      <c r="B97" s="23" t="s">
        <v>320</v>
      </c>
      <c r="C97" s="23" t="n">
        <v>0</v>
      </c>
      <c r="D97" s="23" t="n">
        <v>64</v>
      </c>
      <c r="E97" s="30" t="n">
        <f aca="false">IFERROR(C97/D97,0)</f>
        <v>0</v>
      </c>
      <c r="F97" s="23" t="n">
        <v>2.77</v>
      </c>
      <c r="G97" s="31" t="n">
        <f aca="false">INDEX($N$5:$N$9,MATCH(F97,$M$5:$M$9,1))</f>
        <v>0.1</v>
      </c>
      <c r="H97" s="23" t="n">
        <f aca="false">ROUND(D97*G97,0)</f>
        <v>6</v>
      </c>
      <c r="I97" s="23"/>
      <c r="J97" s="32" t="n">
        <f aca="false">IF(OR(B97="Brand / sitelink",B97="Sitelink / nav page",B97="Subdomain / www",B97="404: redirect"),0,MAX(0,H97-C97))</f>
        <v>0</v>
      </c>
    </row>
    <row r="98" customFormat="false" ht="15" hidden="false" customHeight="false" outlineLevel="0" collapsed="false">
      <c r="A98" s="26" t="s">
        <v>401</v>
      </c>
      <c r="B98" s="26" t="s">
        <v>301</v>
      </c>
      <c r="C98" s="26" t="n">
        <v>0</v>
      </c>
      <c r="D98" s="26" t="n">
        <v>62</v>
      </c>
      <c r="E98" s="35" t="n">
        <f aca="false">IFERROR(C98/D98,0)</f>
        <v>0</v>
      </c>
      <c r="F98" s="26" t="n">
        <v>6.9</v>
      </c>
      <c r="G98" s="36" t="n">
        <f aca="false">INDEX($N$5:$N$9,MATCH(F98,$M$5:$M$9,1))</f>
        <v>0.025</v>
      </c>
      <c r="H98" s="26" t="n">
        <f aca="false">ROUND(D98*G98,0)</f>
        <v>2</v>
      </c>
      <c r="I98" s="26"/>
      <c r="J98" s="37" t="n">
        <f aca="false">IF(OR(B98="Brand / sitelink",B98="Sitelink / nav page",B98="Subdomain / www",B98="404: redirect"),0,MAX(0,H98-C98))</f>
        <v>2</v>
      </c>
    </row>
    <row r="99" customFormat="false" ht="15" hidden="false" customHeight="false" outlineLevel="0" collapsed="false">
      <c r="A99" s="23" t="s">
        <v>402</v>
      </c>
      <c r="B99" s="23" t="s">
        <v>301</v>
      </c>
      <c r="C99" s="23" t="n">
        <v>0</v>
      </c>
      <c r="D99" s="23" t="n">
        <v>61</v>
      </c>
      <c r="E99" s="30" t="n">
        <f aca="false">IFERROR(C99/D99,0)</f>
        <v>0</v>
      </c>
      <c r="F99" s="23" t="n">
        <v>6.46</v>
      </c>
      <c r="G99" s="31" t="n">
        <f aca="false">INDEX($N$5:$N$9,MATCH(F99,$M$5:$M$9,1))</f>
        <v>0.05</v>
      </c>
      <c r="H99" s="23" t="n">
        <f aca="false">ROUND(D99*G99,0)</f>
        <v>3</v>
      </c>
      <c r="I99" s="23"/>
      <c r="J99" s="32" t="n">
        <f aca="false">IF(OR(B99="Brand / sitelink",B99="Sitelink / nav page",B99="Subdomain / www",B99="404: redirect"),0,MAX(0,H99-C99))</f>
        <v>3</v>
      </c>
    </row>
    <row r="100" customFormat="false" ht="22.35" hidden="false" customHeight="false" outlineLevel="0" collapsed="false">
      <c r="A100" s="26" t="s">
        <v>403</v>
      </c>
      <c r="B100" s="26" t="s">
        <v>306</v>
      </c>
      <c r="C100" s="26" t="n">
        <v>0</v>
      </c>
      <c r="D100" s="26" t="n">
        <v>61</v>
      </c>
      <c r="E100" s="35" t="n">
        <f aca="false">IFERROR(C100/D100,0)</f>
        <v>0</v>
      </c>
      <c r="F100" s="26" t="n">
        <v>11.11</v>
      </c>
      <c r="G100" s="36" t="n">
        <f aca="false">INDEX($N$5:$N$9,MATCH(F100,$M$5:$M$9,1))</f>
        <v>0.01</v>
      </c>
      <c r="H100" s="26" t="n">
        <f aca="false">ROUND(D100*G100,0)</f>
        <v>1</v>
      </c>
      <c r="I100" s="26"/>
      <c r="J100" s="37" t="n">
        <f aca="false">IF(OR(B100="Brand / sitelink",B100="Sitelink / nav page",B100="Subdomain / www",B100="404: redirect"),0,MAX(0,H100-C100))</f>
        <v>1</v>
      </c>
    </row>
    <row r="101" customFormat="false" ht="15" hidden="false" customHeight="false" outlineLevel="0" collapsed="false">
      <c r="A101" s="23" t="s">
        <v>404</v>
      </c>
      <c r="B101" s="23" t="s">
        <v>301</v>
      </c>
      <c r="C101" s="23" t="n">
        <v>0</v>
      </c>
      <c r="D101" s="23" t="n">
        <v>59</v>
      </c>
      <c r="E101" s="30" t="n">
        <f aca="false">IFERROR(C101/D101,0)</f>
        <v>0</v>
      </c>
      <c r="F101" s="23" t="n">
        <v>9.78</v>
      </c>
      <c r="G101" s="31" t="n">
        <f aca="false">INDEX($N$5:$N$9,MATCH(F101,$M$5:$M$9,1))</f>
        <v>0.025</v>
      </c>
      <c r="H101" s="23" t="n">
        <f aca="false">ROUND(D101*G101,0)</f>
        <v>1</v>
      </c>
      <c r="I101" s="23"/>
      <c r="J101" s="32" t="n">
        <f aca="false">IF(OR(B101="Brand / sitelink",B101="Sitelink / nav page",B101="Subdomain / www",B101="404: redirect"),0,MAX(0,H101-C101))</f>
        <v>1</v>
      </c>
    </row>
    <row r="102" customFormat="false" ht="22.35" hidden="false" customHeight="false" outlineLevel="0" collapsed="false">
      <c r="A102" s="26" t="s">
        <v>405</v>
      </c>
      <c r="B102" s="26" t="s">
        <v>306</v>
      </c>
      <c r="C102" s="26" t="n">
        <v>0</v>
      </c>
      <c r="D102" s="26" t="n">
        <v>59</v>
      </c>
      <c r="E102" s="35" t="n">
        <f aca="false">IFERROR(C102/D102,0)</f>
        <v>0</v>
      </c>
      <c r="F102" s="26" t="n">
        <v>11.47</v>
      </c>
      <c r="G102" s="36" t="n">
        <f aca="false">INDEX($N$5:$N$9,MATCH(F102,$M$5:$M$9,1))</f>
        <v>0.01</v>
      </c>
      <c r="H102" s="26" t="n">
        <f aca="false">ROUND(D102*G102,0)</f>
        <v>1</v>
      </c>
      <c r="I102" s="26"/>
      <c r="J102" s="37" t="n">
        <f aca="false">IF(OR(B102="Brand / sitelink",B102="Sitelink / nav page",B102="Subdomain / www",B102="404: redirect"),0,MAX(0,H102-C102))</f>
        <v>1</v>
      </c>
    </row>
    <row r="103" customFormat="false" ht="15" hidden="false" customHeight="false" outlineLevel="0" collapsed="false">
      <c r="A103" s="23" t="s">
        <v>406</v>
      </c>
      <c r="B103" s="23" t="s">
        <v>301</v>
      </c>
      <c r="C103" s="23" t="n">
        <v>0</v>
      </c>
      <c r="D103" s="23" t="n">
        <v>57</v>
      </c>
      <c r="E103" s="30" t="n">
        <f aca="false">IFERROR(C103/D103,0)</f>
        <v>0</v>
      </c>
      <c r="F103" s="23" t="n">
        <v>8.84</v>
      </c>
      <c r="G103" s="31" t="n">
        <f aca="false">INDEX($N$5:$N$9,MATCH(F103,$M$5:$M$9,1))</f>
        <v>0.025</v>
      </c>
      <c r="H103" s="23" t="n">
        <f aca="false">ROUND(D103*G103,0)</f>
        <v>1</v>
      </c>
      <c r="I103" s="23"/>
      <c r="J103" s="32" t="n">
        <f aca="false">IF(OR(B103="Brand / sitelink",B103="Sitelink / nav page",B103="Subdomain / www",B103="404: redirect"),0,MAX(0,H103-C103))</f>
        <v>1</v>
      </c>
    </row>
    <row r="104" customFormat="false" ht="15" hidden="false" customHeight="false" outlineLevel="0" collapsed="false">
      <c r="A104" s="26" t="s">
        <v>407</v>
      </c>
      <c r="B104" s="26" t="s">
        <v>301</v>
      </c>
      <c r="C104" s="26" t="n">
        <v>0</v>
      </c>
      <c r="D104" s="26" t="n">
        <v>55</v>
      </c>
      <c r="E104" s="35" t="n">
        <f aca="false">IFERROR(C104/D104,0)</f>
        <v>0</v>
      </c>
      <c r="F104" s="26" t="n">
        <v>8.13</v>
      </c>
      <c r="G104" s="36" t="n">
        <f aca="false">INDEX($N$5:$N$9,MATCH(F104,$M$5:$M$9,1))</f>
        <v>0.025</v>
      </c>
      <c r="H104" s="26" t="n">
        <f aca="false">ROUND(D104*G104,0)</f>
        <v>1</v>
      </c>
      <c r="I104" s="26"/>
      <c r="J104" s="37" t="n">
        <f aca="false">IF(OR(B104="Brand / sitelink",B104="Sitelink / nav page",B104="Subdomain / www",B104="404: redirect"),0,MAX(0,H104-C104))</f>
        <v>1</v>
      </c>
    </row>
    <row r="105" customFormat="false" ht="15" hidden="false" customHeight="false" outlineLevel="0" collapsed="false">
      <c r="A105" s="23" t="s">
        <v>408</v>
      </c>
      <c r="B105" s="23" t="s">
        <v>306</v>
      </c>
      <c r="C105" s="23" t="n">
        <v>0</v>
      </c>
      <c r="D105" s="23" t="n">
        <v>55</v>
      </c>
      <c r="E105" s="30" t="n">
        <f aca="false">IFERROR(C105/D105,0)</f>
        <v>0</v>
      </c>
      <c r="F105" s="23" t="n">
        <v>11</v>
      </c>
      <c r="G105" s="31" t="n">
        <f aca="false">INDEX($N$5:$N$9,MATCH(F105,$M$5:$M$9,1))</f>
        <v>0.01</v>
      </c>
      <c r="H105" s="23" t="n">
        <f aca="false">ROUND(D105*G105,0)</f>
        <v>1</v>
      </c>
      <c r="I105" s="23"/>
      <c r="J105" s="32" t="n">
        <f aca="false">IF(OR(B105="Brand / sitelink",B105="Sitelink / nav page",B105="Subdomain / www",B105="404: redirect"),0,MAX(0,H105-C105))</f>
        <v>1</v>
      </c>
    </row>
    <row r="106" customFormat="false" ht="15" hidden="false" customHeight="false" outlineLevel="0" collapsed="false">
      <c r="A106" s="26" t="s">
        <v>409</v>
      </c>
      <c r="B106" s="26" t="s">
        <v>306</v>
      </c>
      <c r="C106" s="26" t="n">
        <v>0</v>
      </c>
      <c r="D106" s="26" t="n">
        <v>52</v>
      </c>
      <c r="E106" s="35" t="n">
        <f aca="false">IFERROR(C106/D106,0)</f>
        <v>0</v>
      </c>
      <c r="F106" s="26" t="n">
        <v>11.9</v>
      </c>
      <c r="G106" s="36" t="n">
        <f aca="false">INDEX($N$5:$N$9,MATCH(F106,$M$5:$M$9,1))</f>
        <v>0.01</v>
      </c>
      <c r="H106" s="26" t="n">
        <f aca="false">ROUND(D106*G106,0)</f>
        <v>1</v>
      </c>
      <c r="I106" s="26"/>
      <c r="J106" s="37" t="n">
        <f aca="false">IF(OR(B106="Brand / sitelink",B106="Sitelink / nav page",B106="Subdomain / www",B106="404: redirect"),0,MAX(0,H106-C106))</f>
        <v>1</v>
      </c>
    </row>
    <row r="107" customFormat="false" ht="15" hidden="false" customHeight="false" outlineLevel="0" collapsed="false">
      <c r="A107" s="23" t="s">
        <v>410</v>
      </c>
      <c r="B107" s="23" t="s">
        <v>301</v>
      </c>
      <c r="C107" s="23" t="n">
        <v>0</v>
      </c>
      <c r="D107" s="23" t="n">
        <v>38</v>
      </c>
      <c r="E107" s="30" t="n">
        <f aca="false">IFERROR(C107/D107,0)</f>
        <v>0</v>
      </c>
      <c r="F107" s="23" t="n">
        <v>9.05</v>
      </c>
      <c r="G107" s="31" t="n">
        <f aca="false">INDEX($N$5:$N$9,MATCH(F107,$M$5:$M$9,1))</f>
        <v>0.025</v>
      </c>
      <c r="H107" s="23" t="n">
        <f aca="false">ROUND(D107*G107,0)</f>
        <v>1</v>
      </c>
      <c r="I107" s="23"/>
      <c r="J107" s="32" t="n">
        <f aca="false">IF(OR(B107="Brand / sitelink",B107="Sitelink / nav page",B107="Subdomain / www",B107="404: redirect"),0,MAX(0,H107-C107))</f>
        <v>1</v>
      </c>
    </row>
    <row r="108" customFormat="false" ht="15" hidden="false" customHeight="false" outlineLevel="0" collapsed="false">
      <c r="A108" s="26" t="s">
        <v>411</v>
      </c>
      <c r="B108" s="26" t="s">
        <v>306</v>
      </c>
      <c r="C108" s="26" t="n">
        <v>0</v>
      </c>
      <c r="D108" s="26" t="n">
        <v>35</v>
      </c>
      <c r="E108" s="35" t="n">
        <f aca="false">IFERROR(C108/D108,0)</f>
        <v>0</v>
      </c>
      <c r="F108" s="26" t="n">
        <v>19.2</v>
      </c>
      <c r="G108" s="36" t="n">
        <f aca="false">INDEX($N$5:$N$9,MATCH(F108,$M$5:$M$9,1))</f>
        <v>0.01</v>
      </c>
      <c r="H108" s="26" t="n">
        <f aca="false">ROUND(D108*G108,0)</f>
        <v>0</v>
      </c>
      <c r="I108" s="26"/>
      <c r="J108" s="37" t="n">
        <f aca="false">IF(OR(B108="Brand / sitelink",B108="Sitelink / nav page",B108="Subdomain / www",B108="404: redirect"),0,MAX(0,H108-C108))</f>
        <v>0</v>
      </c>
    </row>
    <row r="109" customFormat="false" ht="22.35" hidden="false" customHeight="false" outlineLevel="0" collapsed="false">
      <c r="A109" s="23" t="s">
        <v>412</v>
      </c>
      <c r="B109" s="23" t="s">
        <v>301</v>
      </c>
      <c r="C109" s="23" t="n">
        <v>0</v>
      </c>
      <c r="D109" s="23" t="n">
        <v>34</v>
      </c>
      <c r="E109" s="30" t="n">
        <f aca="false">IFERROR(C109/D109,0)</f>
        <v>0</v>
      </c>
      <c r="F109" s="23" t="n">
        <v>4.29</v>
      </c>
      <c r="G109" s="31" t="n">
        <f aca="false">INDEX($N$5:$N$9,MATCH(F109,$M$5:$M$9,1))</f>
        <v>0.05</v>
      </c>
      <c r="H109" s="23" t="n">
        <f aca="false">ROUND(D109*G109,0)</f>
        <v>2</v>
      </c>
      <c r="I109" s="23"/>
      <c r="J109" s="32" t="n">
        <f aca="false">IF(OR(B109="Brand / sitelink",B109="Sitelink / nav page",B109="Subdomain / www",B109="404: redirect"),0,MAX(0,H109-C109))</f>
        <v>2</v>
      </c>
    </row>
    <row r="110" customFormat="false" ht="15" hidden="false" customHeight="false" outlineLevel="0" collapsed="false">
      <c r="A110" s="26" t="s">
        <v>413</v>
      </c>
      <c r="B110" s="26" t="s">
        <v>306</v>
      </c>
      <c r="C110" s="26" t="n">
        <v>0</v>
      </c>
      <c r="D110" s="26" t="n">
        <v>34</v>
      </c>
      <c r="E110" s="35" t="n">
        <f aca="false">IFERROR(C110/D110,0)</f>
        <v>0</v>
      </c>
      <c r="F110" s="26" t="n">
        <v>11.65</v>
      </c>
      <c r="G110" s="36" t="n">
        <f aca="false">INDEX($N$5:$N$9,MATCH(F110,$M$5:$M$9,1))</f>
        <v>0.01</v>
      </c>
      <c r="H110" s="26" t="n">
        <f aca="false">ROUND(D110*G110,0)</f>
        <v>0</v>
      </c>
      <c r="I110" s="26"/>
      <c r="J110" s="37" t="n">
        <f aca="false">IF(OR(B110="Brand / sitelink",B110="Sitelink / nav page",B110="Subdomain / www",B110="404: redirect"),0,MAX(0,H110-C110))</f>
        <v>0</v>
      </c>
    </row>
    <row r="111" customFormat="false" ht="15" hidden="false" customHeight="false" outlineLevel="0" collapsed="false">
      <c r="A111" s="23" t="s">
        <v>414</v>
      </c>
      <c r="B111" s="23" t="s">
        <v>301</v>
      </c>
      <c r="C111" s="23" t="n">
        <v>0</v>
      </c>
      <c r="D111" s="23" t="n">
        <v>32</v>
      </c>
      <c r="E111" s="30" t="n">
        <f aca="false">IFERROR(C111/D111,0)</f>
        <v>0</v>
      </c>
      <c r="F111" s="23" t="n">
        <v>9.41</v>
      </c>
      <c r="G111" s="31" t="n">
        <f aca="false">INDEX($N$5:$N$9,MATCH(F111,$M$5:$M$9,1))</f>
        <v>0.025</v>
      </c>
      <c r="H111" s="23" t="n">
        <f aca="false">ROUND(D111*G111,0)</f>
        <v>1</v>
      </c>
      <c r="I111" s="23"/>
      <c r="J111" s="32" t="n">
        <f aca="false">IF(OR(B111="Brand / sitelink",B111="Sitelink / nav page",B111="Subdomain / www",B111="404: redirect"),0,MAX(0,H111-C111))</f>
        <v>1</v>
      </c>
    </row>
    <row r="112" customFormat="false" ht="22.35" hidden="false" customHeight="false" outlineLevel="0" collapsed="false">
      <c r="A112" s="26" t="s">
        <v>415</v>
      </c>
      <c r="B112" s="26" t="s">
        <v>301</v>
      </c>
      <c r="C112" s="26" t="n">
        <v>0</v>
      </c>
      <c r="D112" s="26" t="n">
        <v>30</v>
      </c>
      <c r="E112" s="35" t="n">
        <f aca="false">IFERROR(C112/D112,0)</f>
        <v>0</v>
      </c>
      <c r="F112" s="26" t="n">
        <v>9.03</v>
      </c>
      <c r="G112" s="36" t="n">
        <f aca="false">INDEX($N$5:$N$9,MATCH(F112,$M$5:$M$9,1))</f>
        <v>0.025</v>
      </c>
      <c r="H112" s="26" t="n">
        <f aca="false">ROUND(D112*G112,0)</f>
        <v>1</v>
      </c>
      <c r="I112" s="26"/>
      <c r="J112" s="37" t="n">
        <f aca="false">IF(OR(B112="Brand / sitelink",B112="Sitelink / nav page",B112="Subdomain / www",B112="404: redirect"),0,MAX(0,H112-C112))</f>
        <v>1</v>
      </c>
    </row>
    <row r="113" customFormat="false" ht="22.35" hidden="false" customHeight="false" outlineLevel="0" collapsed="false">
      <c r="A113" s="23" t="s">
        <v>416</v>
      </c>
      <c r="B113" s="23" t="s">
        <v>306</v>
      </c>
      <c r="C113" s="23" t="n">
        <v>0</v>
      </c>
      <c r="D113" s="23" t="n">
        <v>30</v>
      </c>
      <c r="E113" s="30" t="n">
        <f aca="false">IFERROR(C113/D113,0)</f>
        <v>0</v>
      </c>
      <c r="F113" s="23" t="n">
        <v>14.17</v>
      </c>
      <c r="G113" s="31" t="n">
        <f aca="false">INDEX($N$5:$N$9,MATCH(F113,$M$5:$M$9,1))</f>
        <v>0.01</v>
      </c>
      <c r="H113" s="23" t="n">
        <f aca="false">ROUND(D113*G113,0)</f>
        <v>0</v>
      </c>
      <c r="I113" s="23"/>
      <c r="J113" s="32" t="n">
        <f aca="false">IF(OR(B113="Brand / sitelink",B113="Sitelink / nav page",B113="Subdomain / www",B113="404: redirect"),0,MAX(0,H113-C113))</f>
        <v>0</v>
      </c>
    </row>
    <row r="114" customFormat="false" ht="15" hidden="false" customHeight="false" outlineLevel="0" collapsed="false">
      <c r="A114" s="26" t="s">
        <v>417</v>
      </c>
      <c r="B114" s="26" t="s">
        <v>311</v>
      </c>
      <c r="C114" s="26" t="n">
        <v>0</v>
      </c>
      <c r="D114" s="26" t="n">
        <v>26</v>
      </c>
      <c r="E114" s="35" t="n">
        <f aca="false">IFERROR(C114/D114,0)</f>
        <v>0</v>
      </c>
      <c r="F114" s="26" t="n">
        <v>5.81</v>
      </c>
      <c r="G114" s="36" t="n">
        <f aca="false">INDEX($N$5:$N$9,MATCH(F114,$M$5:$M$9,1))</f>
        <v>0.05</v>
      </c>
      <c r="H114" s="26" t="n">
        <f aca="false">ROUND(D114*G114,0)</f>
        <v>1</v>
      </c>
      <c r="I114" s="26"/>
      <c r="J114" s="37" t="n">
        <f aca="false">IF(OR(B114="Brand / sitelink",B114="Sitelink / nav page",B114="Subdomain / www",B114="404: redirect"),0,MAX(0,H114-C114))</f>
        <v>0</v>
      </c>
    </row>
    <row r="115" customFormat="false" ht="15" hidden="false" customHeight="false" outlineLevel="0" collapsed="false">
      <c r="A115" s="23" t="s">
        <v>418</v>
      </c>
      <c r="B115" s="23" t="s">
        <v>301</v>
      </c>
      <c r="C115" s="23" t="n">
        <v>0</v>
      </c>
      <c r="D115" s="23" t="n">
        <v>26</v>
      </c>
      <c r="E115" s="30" t="n">
        <f aca="false">IFERROR(C115/D115,0)</f>
        <v>0</v>
      </c>
      <c r="F115" s="23" t="n">
        <v>6.62</v>
      </c>
      <c r="G115" s="31" t="n">
        <f aca="false">INDEX($N$5:$N$9,MATCH(F115,$M$5:$M$9,1))</f>
        <v>0.025</v>
      </c>
      <c r="H115" s="23" t="n">
        <f aca="false">ROUND(D115*G115,0)</f>
        <v>1</v>
      </c>
      <c r="I115" s="23"/>
      <c r="J115" s="32" t="n">
        <f aca="false">IF(OR(B115="Brand / sitelink",B115="Sitelink / nav page",B115="Subdomain / www",B115="404: redirect"),0,MAX(0,H115-C115))</f>
        <v>1</v>
      </c>
    </row>
    <row r="116" customFormat="false" ht="15" hidden="false" customHeight="false" outlineLevel="0" collapsed="false">
      <c r="A116" s="26" t="s">
        <v>419</v>
      </c>
      <c r="B116" s="26" t="s">
        <v>306</v>
      </c>
      <c r="C116" s="26" t="n">
        <v>0</v>
      </c>
      <c r="D116" s="26" t="n">
        <v>26</v>
      </c>
      <c r="E116" s="35" t="n">
        <f aca="false">IFERROR(C116/D116,0)</f>
        <v>0</v>
      </c>
      <c r="F116" s="26" t="n">
        <v>10.23</v>
      </c>
      <c r="G116" s="36" t="n">
        <f aca="false">INDEX($N$5:$N$9,MATCH(F116,$M$5:$M$9,1))</f>
        <v>0.025</v>
      </c>
      <c r="H116" s="26" t="n">
        <f aca="false">ROUND(D116*G116,0)</f>
        <v>1</v>
      </c>
      <c r="I116" s="26"/>
      <c r="J116" s="37" t="n">
        <f aca="false">IF(OR(B116="Brand / sitelink",B116="Sitelink / nav page",B116="Subdomain / www",B116="404: redirect"),0,MAX(0,H116-C116))</f>
        <v>1</v>
      </c>
    </row>
    <row r="117" customFormat="false" ht="15" hidden="false" customHeight="false" outlineLevel="0" collapsed="false">
      <c r="A117" s="23" t="s">
        <v>420</v>
      </c>
      <c r="B117" s="23" t="s">
        <v>301</v>
      </c>
      <c r="C117" s="23" t="n">
        <v>0</v>
      </c>
      <c r="D117" s="23" t="n">
        <v>24</v>
      </c>
      <c r="E117" s="30" t="n">
        <f aca="false">IFERROR(C117/D117,0)</f>
        <v>0</v>
      </c>
      <c r="F117" s="23" t="n">
        <v>5.46</v>
      </c>
      <c r="G117" s="31" t="n">
        <f aca="false">INDEX($N$5:$N$9,MATCH(F117,$M$5:$M$9,1))</f>
        <v>0.05</v>
      </c>
      <c r="H117" s="23" t="n">
        <f aca="false">ROUND(D117*G117,0)</f>
        <v>1</v>
      </c>
      <c r="I117" s="23"/>
      <c r="J117" s="32" t="n">
        <f aca="false">IF(OR(B117="Brand / sitelink",B117="Sitelink / nav page",B117="Subdomain / www",B117="404: redirect"),0,MAX(0,H117-C117))</f>
        <v>1</v>
      </c>
    </row>
    <row r="118" customFormat="false" ht="15" hidden="false" customHeight="false" outlineLevel="0" collapsed="false">
      <c r="A118" s="26" t="s">
        <v>421</v>
      </c>
      <c r="B118" s="26" t="s">
        <v>306</v>
      </c>
      <c r="C118" s="26" t="n">
        <v>0</v>
      </c>
      <c r="D118" s="26" t="n">
        <v>24</v>
      </c>
      <c r="E118" s="35" t="n">
        <f aca="false">IFERROR(C118/D118,0)</f>
        <v>0</v>
      </c>
      <c r="F118" s="26" t="n">
        <v>13.67</v>
      </c>
      <c r="G118" s="36" t="n">
        <f aca="false">INDEX($N$5:$N$9,MATCH(F118,$M$5:$M$9,1))</f>
        <v>0.01</v>
      </c>
      <c r="H118" s="26" t="n">
        <f aca="false">ROUND(D118*G118,0)</f>
        <v>0</v>
      </c>
      <c r="I118" s="26"/>
      <c r="J118" s="37" t="n">
        <f aca="false">IF(OR(B118="Brand / sitelink",B118="Sitelink / nav page",B118="Subdomain / www",B118="404: redirect"),0,MAX(0,H118-C118))</f>
        <v>0</v>
      </c>
    </row>
    <row r="119" customFormat="false" ht="15" hidden="false" customHeight="false" outlineLevel="0" collapsed="false">
      <c r="A119" s="23" t="s">
        <v>422</v>
      </c>
      <c r="B119" s="23" t="s">
        <v>306</v>
      </c>
      <c r="C119" s="23" t="n">
        <v>0</v>
      </c>
      <c r="D119" s="23" t="n">
        <v>23</v>
      </c>
      <c r="E119" s="30" t="n">
        <f aca="false">IFERROR(C119/D119,0)</f>
        <v>0</v>
      </c>
      <c r="F119" s="23" t="n">
        <v>10.26</v>
      </c>
      <c r="G119" s="31" t="n">
        <f aca="false">INDEX($N$5:$N$9,MATCH(F119,$M$5:$M$9,1))</f>
        <v>0.025</v>
      </c>
      <c r="H119" s="23" t="n">
        <f aca="false">ROUND(D119*G119,0)</f>
        <v>1</v>
      </c>
      <c r="I119" s="23"/>
      <c r="J119" s="32" t="n">
        <f aca="false">IF(OR(B119="Brand / sitelink",B119="Sitelink / nav page",B119="Subdomain / www",B119="404: redirect"),0,MAX(0,H119-C119))</f>
        <v>1</v>
      </c>
    </row>
    <row r="120" customFormat="false" ht="22.35" hidden="false" customHeight="false" outlineLevel="0" collapsed="false">
      <c r="A120" s="26" t="s">
        <v>423</v>
      </c>
      <c r="B120" s="26" t="s">
        <v>318</v>
      </c>
      <c r="C120" s="26" t="n">
        <v>0</v>
      </c>
      <c r="D120" s="26" t="n">
        <v>21</v>
      </c>
      <c r="E120" s="35" t="n">
        <f aca="false">IFERROR(C120/D120,0)</f>
        <v>0</v>
      </c>
      <c r="F120" s="26" t="n">
        <v>21.76</v>
      </c>
      <c r="G120" s="36" t="n">
        <f aca="false">INDEX($N$5:$N$9,MATCH(F120,$M$5:$M$9,1))</f>
        <v>0.003</v>
      </c>
      <c r="H120" s="26" t="n">
        <f aca="false">ROUND(D120*G120,0)</f>
        <v>0</v>
      </c>
      <c r="I120" s="26"/>
      <c r="J120" s="37" t="n">
        <f aca="false">IF(OR(B120="Brand / sitelink",B120="Sitelink / nav page",B120="Subdomain / www",B120="404: redirect"),0,MAX(0,H120-C120))</f>
        <v>0</v>
      </c>
    </row>
    <row r="121" customFormat="false" ht="22.35" hidden="false" customHeight="false" outlineLevel="0" collapsed="false">
      <c r="A121" s="23" t="s">
        <v>424</v>
      </c>
      <c r="B121" s="23" t="s">
        <v>301</v>
      </c>
      <c r="C121" s="23" t="n">
        <v>0</v>
      </c>
      <c r="D121" s="23" t="n">
        <v>20</v>
      </c>
      <c r="E121" s="30" t="n">
        <f aca="false">IFERROR(C121/D121,0)</f>
        <v>0</v>
      </c>
      <c r="F121" s="23" t="n">
        <v>6.95</v>
      </c>
      <c r="G121" s="31" t="n">
        <f aca="false">INDEX($N$5:$N$9,MATCH(F121,$M$5:$M$9,1))</f>
        <v>0.025</v>
      </c>
      <c r="H121" s="23" t="n">
        <f aca="false">ROUND(D121*G121,0)</f>
        <v>1</v>
      </c>
      <c r="I121" s="23"/>
      <c r="J121" s="32" t="n">
        <f aca="false">IF(OR(B121="Brand / sitelink",B121="Sitelink / nav page",B121="Subdomain / www",B121="404: redirect"),0,MAX(0,H121-C121))</f>
        <v>1</v>
      </c>
    </row>
    <row r="122" customFormat="false" ht="22.35" hidden="false" customHeight="false" outlineLevel="0" collapsed="false">
      <c r="A122" s="26" t="s">
        <v>425</v>
      </c>
      <c r="B122" s="26" t="s">
        <v>301</v>
      </c>
      <c r="C122" s="26" t="n">
        <v>0</v>
      </c>
      <c r="D122" s="26" t="n">
        <v>20</v>
      </c>
      <c r="E122" s="35" t="n">
        <f aca="false">IFERROR(C122/D122,0)</f>
        <v>0</v>
      </c>
      <c r="F122" s="26" t="n">
        <v>8.55</v>
      </c>
      <c r="G122" s="36" t="n">
        <f aca="false">INDEX($N$5:$N$9,MATCH(F122,$M$5:$M$9,1))</f>
        <v>0.025</v>
      </c>
      <c r="H122" s="26" t="n">
        <f aca="false">ROUND(D122*G122,0)</f>
        <v>1</v>
      </c>
      <c r="I122" s="26"/>
      <c r="J122" s="37" t="n">
        <f aca="false">IF(OR(B122="Brand / sitelink",B122="Sitelink / nav page",B122="Subdomain / www",B122="404: redirect"),0,MAX(0,H122-C122))</f>
        <v>1</v>
      </c>
    </row>
    <row r="123" customFormat="false" ht="15" hidden="false" customHeight="false" outlineLevel="0" collapsed="false">
      <c r="A123" s="23" t="s">
        <v>426</v>
      </c>
      <c r="B123" s="23" t="s">
        <v>301</v>
      </c>
      <c r="C123" s="23" t="n">
        <v>0</v>
      </c>
      <c r="D123" s="23" t="n">
        <v>19</v>
      </c>
      <c r="E123" s="30" t="n">
        <f aca="false">IFERROR(C123/D123,0)</f>
        <v>0</v>
      </c>
      <c r="F123" s="23" t="n">
        <v>5.84</v>
      </c>
      <c r="G123" s="31" t="n">
        <f aca="false">INDEX($N$5:$N$9,MATCH(F123,$M$5:$M$9,1))</f>
        <v>0.05</v>
      </c>
      <c r="H123" s="23" t="n">
        <f aca="false">ROUND(D123*G123,0)</f>
        <v>1</v>
      </c>
      <c r="I123" s="23"/>
      <c r="J123" s="32" t="n">
        <f aca="false">IF(OR(B123="Brand / sitelink",B123="Sitelink / nav page",B123="Subdomain / www",B123="404: redirect"),0,MAX(0,H123-C123))</f>
        <v>1</v>
      </c>
    </row>
    <row r="124" customFormat="false" ht="15" hidden="false" customHeight="false" outlineLevel="0" collapsed="false">
      <c r="A124" s="26" t="s">
        <v>427</v>
      </c>
      <c r="B124" s="26" t="s">
        <v>311</v>
      </c>
      <c r="C124" s="26" t="n">
        <v>0</v>
      </c>
      <c r="D124" s="26" t="n">
        <v>18</v>
      </c>
      <c r="E124" s="35" t="n">
        <f aca="false">IFERROR(C124/D124,0)</f>
        <v>0</v>
      </c>
      <c r="F124" s="26" t="n">
        <v>9.83</v>
      </c>
      <c r="G124" s="36" t="n">
        <f aca="false">INDEX($N$5:$N$9,MATCH(F124,$M$5:$M$9,1))</f>
        <v>0.025</v>
      </c>
      <c r="H124" s="26" t="n">
        <f aca="false">ROUND(D124*G124,0)</f>
        <v>0</v>
      </c>
      <c r="I124" s="26"/>
      <c r="J124" s="37" t="n">
        <f aca="false">IF(OR(B124="Brand / sitelink",B124="Sitelink / nav page",B124="Subdomain / www",B124="404: redirect"),0,MAX(0,H124-C124))</f>
        <v>0</v>
      </c>
    </row>
    <row r="125" customFormat="false" ht="22.35" hidden="false" customHeight="false" outlineLevel="0" collapsed="false">
      <c r="A125" s="23" t="s">
        <v>428</v>
      </c>
      <c r="B125" s="23" t="s">
        <v>306</v>
      </c>
      <c r="C125" s="23" t="n">
        <v>0</v>
      </c>
      <c r="D125" s="23" t="n">
        <v>17</v>
      </c>
      <c r="E125" s="30" t="n">
        <f aca="false">IFERROR(C125/D125,0)</f>
        <v>0</v>
      </c>
      <c r="F125" s="23" t="n">
        <v>13.71</v>
      </c>
      <c r="G125" s="31" t="n">
        <f aca="false">INDEX($N$5:$N$9,MATCH(F125,$M$5:$M$9,1))</f>
        <v>0.01</v>
      </c>
      <c r="H125" s="23" t="n">
        <f aca="false">ROUND(D125*G125,0)</f>
        <v>0</v>
      </c>
      <c r="I125" s="23"/>
      <c r="J125" s="32" t="n">
        <f aca="false">IF(OR(B125="Brand / sitelink",B125="Sitelink / nav page",B125="Subdomain / www",B125="404: redirect"),0,MAX(0,H125-C125))</f>
        <v>0</v>
      </c>
    </row>
    <row r="126" customFormat="false" ht="22.35" hidden="false" customHeight="false" outlineLevel="0" collapsed="false">
      <c r="A126" s="26" t="s">
        <v>429</v>
      </c>
      <c r="B126" s="26" t="s">
        <v>301</v>
      </c>
      <c r="C126" s="26" t="n">
        <v>0</v>
      </c>
      <c r="D126" s="26" t="n">
        <v>15</v>
      </c>
      <c r="E126" s="35" t="n">
        <f aca="false">IFERROR(C126/D126,0)</f>
        <v>0</v>
      </c>
      <c r="F126" s="26" t="n">
        <v>8.6</v>
      </c>
      <c r="G126" s="36" t="n">
        <f aca="false">INDEX($N$5:$N$9,MATCH(F126,$M$5:$M$9,1))</f>
        <v>0.025</v>
      </c>
      <c r="H126" s="26" t="n">
        <f aca="false">ROUND(D126*G126,0)</f>
        <v>0</v>
      </c>
      <c r="I126" s="26"/>
      <c r="J126" s="37" t="n">
        <f aca="false">IF(OR(B126="Brand / sitelink",B126="Sitelink / nav page",B126="Subdomain / www",B126="404: redirect"),0,MAX(0,H126-C126))</f>
        <v>0</v>
      </c>
    </row>
    <row r="127" customFormat="false" ht="15" hidden="false" customHeight="false" outlineLevel="0" collapsed="false">
      <c r="A127" s="23" t="s">
        <v>430</v>
      </c>
      <c r="B127" s="23" t="s">
        <v>301</v>
      </c>
      <c r="C127" s="23" t="n">
        <v>0</v>
      </c>
      <c r="D127" s="23" t="n">
        <v>13</v>
      </c>
      <c r="E127" s="30" t="n">
        <f aca="false">IFERROR(C127/D127,0)</f>
        <v>0</v>
      </c>
      <c r="F127" s="23" t="n">
        <v>6.08</v>
      </c>
      <c r="G127" s="31" t="n">
        <f aca="false">INDEX($N$5:$N$9,MATCH(F127,$M$5:$M$9,1))</f>
        <v>0.05</v>
      </c>
      <c r="H127" s="23" t="n">
        <f aca="false">ROUND(D127*G127,0)</f>
        <v>1</v>
      </c>
      <c r="I127" s="23"/>
      <c r="J127" s="32" t="n">
        <f aca="false">IF(OR(B127="Brand / sitelink",B127="Sitelink / nav page",B127="Subdomain / www",B127="404: redirect"),0,MAX(0,H127-C127))</f>
        <v>1</v>
      </c>
    </row>
    <row r="128" customFormat="false" ht="15" hidden="false" customHeight="false" outlineLevel="0" collapsed="false">
      <c r="A128" s="26" t="s">
        <v>431</v>
      </c>
      <c r="B128" s="26" t="s">
        <v>306</v>
      </c>
      <c r="C128" s="26" t="n">
        <v>0</v>
      </c>
      <c r="D128" s="26" t="n">
        <v>13</v>
      </c>
      <c r="E128" s="35" t="n">
        <f aca="false">IFERROR(C128/D128,0)</f>
        <v>0</v>
      </c>
      <c r="F128" s="26" t="n">
        <v>11.85</v>
      </c>
      <c r="G128" s="36" t="n">
        <f aca="false">INDEX($N$5:$N$9,MATCH(F128,$M$5:$M$9,1))</f>
        <v>0.01</v>
      </c>
      <c r="H128" s="26" t="n">
        <f aca="false">ROUND(D128*G128,0)</f>
        <v>0</v>
      </c>
      <c r="I128" s="26"/>
      <c r="J128" s="37" t="n">
        <f aca="false">IF(OR(B128="Brand / sitelink",B128="Sitelink / nav page",B128="Subdomain / www",B128="404: redirect"),0,MAX(0,H128-C128))</f>
        <v>0</v>
      </c>
    </row>
    <row r="129" customFormat="false" ht="15" hidden="false" customHeight="false" outlineLevel="0" collapsed="false">
      <c r="A129" s="23" t="s">
        <v>432</v>
      </c>
      <c r="B129" s="23" t="s">
        <v>301</v>
      </c>
      <c r="C129" s="23" t="n">
        <v>0</v>
      </c>
      <c r="D129" s="23" t="n">
        <v>12</v>
      </c>
      <c r="E129" s="30" t="n">
        <f aca="false">IFERROR(C129/D129,0)</f>
        <v>0</v>
      </c>
      <c r="F129" s="23" t="n">
        <v>7.25</v>
      </c>
      <c r="G129" s="31" t="n">
        <f aca="false">INDEX($N$5:$N$9,MATCH(F129,$M$5:$M$9,1))</f>
        <v>0.025</v>
      </c>
      <c r="H129" s="23" t="n">
        <f aca="false">ROUND(D129*G129,0)</f>
        <v>0</v>
      </c>
      <c r="I129" s="23"/>
      <c r="J129" s="32" t="n">
        <f aca="false">IF(OR(B129="Brand / sitelink",B129="Sitelink / nav page",B129="Subdomain / www",B129="404: redirect"),0,MAX(0,H129-C129))</f>
        <v>0</v>
      </c>
    </row>
    <row r="130" customFormat="false" ht="22.35" hidden="false" customHeight="false" outlineLevel="0" collapsed="false">
      <c r="A130" s="26" t="s">
        <v>433</v>
      </c>
      <c r="B130" s="26" t="s">
        <v>306</v>
      </c>
      <c r="C130" s="26" t="n">
        <v>0</v>
      </c>
      <c r="D130" s="26" t="n">
        <v>11</v>
      </c>
      <c r="E130" s="35" t="n">
        <f aca="false">IFERROR(C130/D130,0)</f>
        <v>0</v>
      </c>
      <c r="F130" s="26" t="n">
        <v>11.09</v>
      </c>
      <c r="G130" s="36" t="n">
        <f aca="false">INDEX($N$5:$N$9,MATCH(F130,$M$5:$M$9,1))</f>
        <v>0.01</v>
      </c>
      <c r="H130" s="26" t="n">
        <f aca="false">ROUND(D130*G130,0)</f>
        <v>0</v>
      </c>
      <c r="I130" s="26"/>
      <c r="J130" s="37" t="n">
        <f aca="false">IF(OR(B130="Brand / sitelink",B130="Sitelink / nav page",B130="Subdomain / www",B130="404: redirect"),0,MAX(0,H130-C130))</f>
        <v>0</v>
      </c>
    </row>
    <row r="131" customFormat="false" ht="22.35" hidden="false" customHeight="false" outlineLevel="0" collapsed="false">
      <c r="A131" s="23" t="s">
        <v>434</v>
      </c>
      <c r="B131" s="23" t="s">
        <v>306</v>
      </c>
      <c r="C131" s="23" t="n">
        <v>0</v>
      </c>
      <c r="D131" s="23" t="n">
        <v>11</v>
      </c>
      <c r="E131" s="30" t="n">
        <f aca="false">IFERROR(C131/D131,0)</f>
        <v>0</v>
      </c>
      <c r="F131" s="23" t="n">
        <v>12.55</v>
      </c>
      <c r="G131" s="31" t="n">
        <f aca="false">INDEX($N$5:$N$9,MATCH(F131,$M$5:$M$9,1))</f>
        <v>0.01</v>
      </c>
      <c r="H131" s="23" t="n">
        <f aca="false">ROUND(D131*G131,0)</f>
        <v>0</v>
      </c>
      <c r="I131" s="23"/>
      <c r="J131" s="32" t="n">
        <f aca="false">IF(OR(B131="Brand / sitelink",B131="Sitelink / nav page",B131="Subdomain / www",B131="404: redirect"),0,MAX(0,H131-C131))</f>
        <v>0</v>
      </c>
    </row>
    <row r="132" customFormat="false" ht="15" hidden="false" customHeight="false" outlineLevel="0" collapsed="false">
      <c r="A132" s="26" t="s">
        <v>435</v>
      </c>
      <c r="B132" s="26" t="s">
        <v>301</v>
      </c>
      <c r="C132" s="26" t="n">
        <v>0</v>
      </c>
      <c r="D132" s="26" t="n">
        <v>10</v>
      </c>
      <c r="E132" s="35" t="n">
        <f aca="false">IFERROR(C132/D132,0)</f>
        <v>0</v>
      </c>
      <c r="F132" s="26" t="n">
        <v>5.4</v>
      </c>
      <c r="G132" s="36" t="n">
        <f aca="false">INDEX($N$5:$N$9,MATCH(F132,$M$5:$M$9,1))</f>
        <v>0.05</v>
      </c>
      <c r="H132" s="26" t="n">
        <f aca="false">ROUND(D132*G132,0)</f>
        <v>1</v>
      </c>
      <c r="I132" s="26"/>
      <c r="J132" s="37" t="n">
        <f aca="false">IF(OR(B132="Brand / sitelink",B132="Sitelink / nav page",B132="Subdomain / www",B132="404: redirect"),0,MAX(0,H132-C132))</f>
        <v>1</v>
      </c>
    </row>
    <row r="133" customFormat="false" ht="22.35" hidden="false" customHeight="false" outlineLevel="0" collapsed="false">
      <c r="A133" s="23" t="s">
        <v>436</v>
      </c>
      <c r="B133" s="23" t="s">
        <v>301</v>
      </c>
      <c r="C133" s="23" t="n">
        <v>0</v>
      </c>
      <c r="D133" s="23" t="n">
        <v>10</v>
      </c>
      <c r="E133" s="30" t="n">
        <f aca="false">IFERROR(C133/D133,0)</f>
        <v>0</v>
      </c>
      <c r="F133" s="23" t="n">
        <v>8.7</v>
      </c>
      <c r="G133" s="31" t="n">
        <f aca="false">INDEX($N$5:$N$9,MATCH(F133,$M$5:$M$9,1))</f>
        <v>0.025</v>
      </c>
      <c r="H133" s="23" t="n">
        <f aca="false">ROUND(D133*G133,0)</f>
        <v>0</v>
      </c>
      <c r="I133" s="23"/>
      <c r="J133" s="32" t="n">
        <f aca="false">IF(OR(B133="Brand / sitelink",B133="Sitelink / nav page",B133="Subdomain / www",B133="404: redirect"),0,MAX(0,H133-C133))</f>
        <v>0</v>
      </c>
    </row>
    <row r="134" customFormat="false" ht="15" hidden="false" customHeight="false" outlineLevel="0" collapsed="false">
      <c r="A134" s="26" t="s">
        <v>437</v>
      </c>
      <c r="B134" s="26" t="s">
        <v>301</v>
      </c>
      <c r="C134" s="26" t="n">
        <v>0</v>
      </c>
      <c r="D134" s="26" t="n">
        <v>10</v>
      </c>
      <c r="E134" s="35" t="n">
        <f aca="false">IFERROR(C134/D134,0)</f>
        <v>0</v>
      </c>
      <c r="F134" s="26" t="n">
        <v>9</v>
      </c>
      <c r="G134" s="36" t="n">
        <f aca="false">INDEX($N$5:$N$9,MATCH(F134,$M$5:$M$9,1))</f>
        <v>0.025</v>
      </c>
      <c r="H134" s="26" t="n">
        <f aca="false">ROUND(D134*G134,0)</f>
        <v>0</v>
      </c>
      <c r="I134" s="26"/>
      <c r="J134" s="37" t="n">
        <f aca="false">IF(OR(B134="Brand / sitelink",B134="Sitelink / nav page",B134="Subdomain / www",B134="404: redirect"),0,MAX(0,H134-C134))</f>
        <v>0</v>
      </c>
    </row>
    <row r="135" customFormat="false" ht="15" hidden="false" customHeight="false" outlineLevel="0" collapsed="false">
      <c r="A135" s="23" t="s">
        <v>438</v>
      </c>
      <c r="B135" s="23" t="s">
        <v>311</v>
      </c>
      <c r="C135" s="23" t="n">
        <v>0</v>
      </c>
      <c r="D135" s="23" t="n">
        <v>10</v>
      </c>
      <c r="E135" s="30" t="n">
        <f aca="false">IFERROR(C135/D135,0)</f>
        <v>0</v>
      </c>
      <c r="F135" s="23" t="n">
        <v>10.3</v>
      </c>
      <c r="G135" s="31" t="n">
        <f aca="false">INDEX($N$5:$N$9,MATCH(F135,$M$5:$M$9,1))</f>
        <v>0.025</v>
      </c>
      <c r="H135" s="23" t="n">
        <f aca="false">ROUND(D135*G135,0)</f>
        <v>0</v>
      </c>
      <c r="I135" s="23"/>
      <c r="J135" s="32" t="n">
        <f aca="false">IF(OR(B135="Brand / sitelink",B135="Sitelink / nav page",B135="Subdomain / www",B135="404: redirect"),0,MAX(0,H135-C135))</f>
        <v>0</v>
      </c>
    </row>
    <row r="136" customFormat="false" ht="15" hidden="false" customHeight="false" outlineLevel="0" collapsed="false">
      <c r="A136" s="26" t="s">
        <v>439</v>
      </c>
      <c r="B136" s="26" t="s">
        <v>301</v>
      </c>
      <c r="C136" s="26" t="n">
        <v>0</v>
      </c>
      <c r="D136" s="26" t="n">
        <v>9</v>
      </c>
      <c r="E136" s="35" t="n">
        <f aca="false">IFERROR(C136/D136,0)</f>
        <v>0</v>
      </c>
      <c r="F136" s="26" t="n">
        <v>8.89</v>
      </c>
      <c r="G136" s="36" t="n">
        <f aca="false">INDEX($N$5:$N$9,MATCH(F136,$M$5:$M$9,1))</f>
        <v>0.025</v>
      </c>
      <c r="H136" s="26" t="n">
        <f aca="false">ROUND(D136*G136,0)</f>
        <v>0</v>
      </c>
      <c r="I136" s="26"/>
      <c r="J136" s="37" t="n">
        <f aca="false">IF(OR(B136="Brand / sitelink",B136="Sitelink / nav page",B136="Subdomain / www",B136="404: redirect"),0,MAX(0,H136-C136))</f>
        <v>0</v>
      </c>
    </row>
    <row r="137" customFormat="false" ht="15" hidden="false" customHeight="false" outlineLevel="0" collapsed="false">
      <c r="A137" s="23" t="s">
        <v>440</v>
      </c>
      <c r="B137" s="23" t="s">
        <v>306</v>
      </c>
      <c r="C137" s="23" t="n">
        <v>0</v>
      </c>
      <c r="D137" s="23" t="n">
        <v>9</v>
      </c>
      <c r="E137" s="30" t="n">
        <f aca="false">IFERROR(C137/D137,0)</f>
        <v>0</v>
      </c>
      <c r="F137" s="23" t="n">
        <v>15.67</v>
      </c>
      <c r="G137" s="31" t="n">
        <f aca="false">INDEX($N$5:$N$9,MATCH(F137,$M$5:$M$9,1))</f>
        <v>0.01</v>
      </c>
      <c r="H137" s="23" t="n">
        <f aca="false">ROUND(D137*G137,0)</f>
        <v>0</v>
      </c>
      <c r="I137" s="23"/>
      <c r="J137" s="32" t="n">
        <f aca="false">IF(OR(B137="Brand / sitelink",B137="Sitelink / nav page",B137="Subdomain / www",B137="404: redirect"),0,MAX(0,H137-C137))</f>
        <v>0</v>
      </c>
    </row>
    <row r="138" customFormat="false" ht="15" hidden="false" customHeight="false" outlineLevel="0" collapsed="false">
      <c r="A138" s="26" t="s">
        <v>441</v>
      </c>
      <c r="B138" s="26" t="s">
        <v>301</v>
      </c>
      <c r="C138" s="26" t="n">
        <v>0</v>
      </c>
      <c r="D138" s="26" t="n">
        <v>8</v>
      </c>
      <c r="E138" s="35" t="n">
        <f aca="false">IFERROR(C138/D138,0)</f>
        <v>0</v>
      </c>
      <c r="F138" s="26" t="n">
        <v>4.75</v>
      </c>
      <c r="G138" s="36" t="n">
        <f aca="false">INDEX($N$5:$N$9,MATCH(F138,$M$5:$M$9,1))</f>
        <v>0.05</v>
      </c>
      <c r="H138" s="26" t="n">
        <f aca="false">ROUND(D138*G138,0)</f>
        <v>0</v>
      </c>
      <c r="I138" s="26"/>
      <c r="J138" s="37" t="n">
        <f aca="false">IF(OR(B138="Brand / sitelink",B138="Sitelink / nav page",B138="Subdomain / www",B138="404: redirect"),0,MAX(0,H138-C138))</f>
        <v>0</v>
      </c>
    </row>
    <row r="139" customFormat="false" ht="15" hidden="false" customHeight="false" outlineLevel="0" collapsed="false">
      <c r="A139" s="23" t="s">
        <v>442</v>
      </c>
      <c r="B139" s="23" t="s">
        <v>301</v>
      </c>
      <c r="C139" s="23" t="n">
        <v>0</v>
      </c>
      <c r="D139" s="23" t="n">
        <v>8</v>
      </c>
      <c r="E139" s="30" t="n">
        <f aca="false">IFERROR(C139/D139,0)</f>
        <v>0</v>
      </c>
      <c r="F139" s="23" t="n">
        <v>9.25</v>
      </c>
      <c r="G139" s="31" t="n">
        <f aca="false">INDEX($N$5:$N$9,MATCH(F139,$M$5:$M$9,1))</f>
        <v>0.025</v>
      </c>
      <c r="H139" s="23" t="n">
        <f aca="false">ROUND(D139*G139,0)</f>
        <v>0</v>
      </c>
      <c r="I139" s="23"/>
      <c r="J139" s="32" t="n">
        <f aca="false">IF(OR(B139="Brand / sitelink",B139="Sitelink / nav page",B139="Subdomain / www",B139="404: redirect"),0,MAX(0,H139-C139))</f>
        <v>0</v>
      </c>
    </row>
    <row r="140" customFormat="false" ht="22.35" hidden="false" customHeight="false" outlineLevel="0" collapsed="false">
      <c r="A140" s="26" t="s">
        <v>443</v>
      </c>
      <c r="B140" s="26" t="s">
        <v>306</v>
      </c>
      <c r="C140" s="26" t="n">
        <v>0</v>
      </c>
      <c r="D140" s="26" t="n">
        <v>8</v>
      </c>
      <c r="E140" s="35" t="n">
        <f aca="false">IFERROR(C140/D140,0)</f>
        <v>0</v>
      </c>
      <c r="F140" s="26" t="n">
        <v>10.62</v>
      </c>
      <c r="G140" s="36" t="n">
        <f aca="false">INDEX($N$5:$N$9,MATCH(F140,$M$5:$M$9,1))</f>
        <v>0.01</v>
      </c>
      <c r="H140" s="26" t="n">
        <f aca="false">ROUND(D140*G140,0)</f>
        <v>0</v>
      </c>
      <c r="I140" s="26"/>
      <c r="J140" s="37" t="n">
        <f aca="false">IF(OR(B140="Brand / sitelink",B140="Sitelink / nav page",B140="Subdomain / www",B140="404: redirect"),0,MAX(0,H140-C140))</f>
        <v>0</v>
      </c>
    </row>
    <row r="141" customFormat="false" ht="22.35" hidden="false" customHeight="false" outlineLevel="0" collapsed="false">
      <c r="A141" s="23" t="s">
        <v>444</v>
      </c>
      <c r="B141" s="23" t="s">
        <v>306</v>
      </c>
      <c r="C141" s="23" t="n">
        <v>0</v>
      </c>
      <c r="D141" s="23" t="n">
        <v>8</v>
      </c>
      <c r="E141" s="30" t="n">
        <f aca="false">IFERROR(C141/D141,0)</f>
        <v>0</v>
      </c>
      <c r="F141" s="23" t="n">
        <v>19.62</v>
      </c>
      <c r="G141" s="31" t="n">
        <f aca="false">INDEX($N$5:$N$9,MATCH(F141,$M$5:$M$9,1))</f>
        <v>0.01</v>
      </c>
      <c r="H141" s="23" t="n">
        <f aca="false">ROUND(D141*G141,0)</f>
        <v>0</v>
      </c>
      <c r="I141" s="23"/>
      <c r="J141" s="32" t="n">
        <f aca="false">IF(OR(B141="Brand / sitelink",B141="Sitelink / nav page",B141="Subdomain / www",B141="404: redirect"),0,MAX(0,H141-C141))</f>
        <v>0</v>
      </c>
    </row>
    <row r="142" customFormat="false" ht="15" hidden="false" customHeight="false" outlineLevel="0" collapsed="false">
      <c r="A142" s="26" t="s">
        <v>445</v>
      </c>
      <c r="B142" s="26" t="s">
        <v>301</v>
      </c>
      <c r="C142" s="26" t="n">
        <v>0</v>
      </c>
      <c r="D142" s="26" t="n">
        <v>7</v>
      </c>
      <c r="E142" s="35" t="n">
        <f aca="false">IFERROR(C142/D142,0)</f>
        <v>0</v>
      </c>
      <c r="F142" s="26" t="n">
        <v>2.43</v>
      </c>
      <c r="G142" s="36" t="n">
        <f aca="false">INDEX($N$5:$N$9,MATCH(F142,$M$5:$M$9,1))</f>
        <v>0.1</v>
      </c>
      <c r="H142" s="26" t="n">
        <f aca="false">ROUND(D142*G142,0)</f>
        <v>1</v>
      </c>
      <c r="I142" s="26"/>
      <c r="J142" s="37" t="n">
        <f aca="false">IF(OR(B142="Brand / sitelink",B142="Sitelink / nav page",B142="Subdomain / www",B142="404: redirect"),0,MAX(0,H142-C142))</f>
        <v>1</v>
      </c>
    </row>
    <row r="143" customFormat="false" ht="22.35" hidden="false" customHeight="false" outlineLevel="0" collapsed="false">
      <c r="A143" s="23" t="s">
        <v>446</v>
      </c>
      <c r="B143" s="23" t="s">
        <v>301</v>
      </c>
      <c r="C143" s="23" t="n">
        <v>0</v>
      </c>
      <c r="D143" s="23" t="n">
        <v>6</v>
      </c>
      <c r="E143" s="30" t="n">
        <f aca="false">IFERROR(C143/D143,0)</f>
        <v>0</v>
      </c>
      <c r="F143" s="23" t="n">
        <v>4.5</v>
      </c>
      <c r="G143" s="31" t="n">
        <f aca="false">INDEX($N$5:$N$9,MATCH(F143,$M$5:$M$9,1))</f>
        <v>0.05</v>
      </c>
      <c r="H143" s="23" t="n">
        <f aca="false">ROUND(D143*G143,0)</f>
        <v>0</v>
      </c>
      <c r="I143" s="23"/>
      <c r="J143" s="32" t="n">
        <f aca="false">IF(OR(B143="Brand / sitelink",B143="Sitelink / nav page",B143="Subdomain / www",B143="404: redirect"),0,MAX(0,H143-C143))</f>
        <v>0</v>
      </c>
    </row>
    <row r="144" customFormat="false" ht="22.35" hidden="false" customHeight="false" outlineLevel="0" collapsed="false">
      <c r="A144" s="26" t="s">
        <v>447</v>
      </c>
      <c r="B144" s="26" t="s">
        <v>301</v>
      </c>
      <c r="C144" s="26" t="n">
        <v>0</v>
      </c>
      <c r="D144" s="26" t="n">
        <v>6</v>
      </c>
      <c r="E144" s="35" t="n">
        <f aca="false">IFERROR(C144/D144,0)</f>
        <v>0</v>
      </c>
      <c r="F144" s="26" t="n">
        <v>5.33</v>
      </c>
      <c r="G144" s="36" t="n">
        <f aca="false">INDEX($N$5:$N$9,MATCH(F144,$M$5:$M$9,1))</f>
        <v>0.05</v>
      </c>
      <c r="H144" s="26" t="n">
        <f aca="false">ROUND(D144*G144,0)</f>
        <v>0</v>
      </c>
      <c r="I144" s="26"/>
      <c r="J144" s="37" t="n">
        <f aca="false">IF(OR(B144="Brand / sitelink",B144="Sitelink / nav page",B144="Subdomain / www",B144="404: redirect"),0,MAX(0,H144-C144))</f>
        <v>0</v>
      </c>
    </row>
    <row r="145" customFormat="false" ht="22.35" hidden="false" customHeight="false" outlineLevel="0" collapsed="false">
      <c r="A145" s="23" t="s">
        <v>448</v>
      </c>
      <c r="B145" s="23" t="s">
        <v>301</v>
      </c>
      <c r="C145" s="23" t="n">
        <v>0</v>
      </c>
      <c r="D145" s="23" t="n">
        <v>6</v>
      </c>
      <c r="E145" s="30" t="n">
        <f aca="false">IFERROR(C145/D145,0)</f>
        <v>0</v>
      </c>
      <c r="F145" s="23" t="n">
        <v>6.33</v>
      </c>
      <c r="G145" s="31" t="n">
        <f aca="false">INDEX($N$5:$N$9,MATCH(F145,$M$5:$M$9,1))</f>
        <v>0.05</v>
      </c>
      <c r="H145" s="23" t="n">
        <f aca="false">ROUND(D145*G145,0)</f>
        <v>0</v>
      </c>
      <c r="I145" s="23"/>
      <c r="J145" s="32" t="n">
        <f aca="false">IF(OR(B145="Brand / sitelink",B145="Sitelink / nav page",B145="Subdomain / www",B145="404: redirect"),0,MAX(0,H145-C145))</f>
        <v>0</v>
      </c>
    </row>
    <row r="146" customFormat="false" ht="22.35" hidden="false" customHeight="false" outlineLevel="0" collapsed="false">
      <c r="A146" s="26" t="s">
        <v>449</v>
      </c>
      <c r="B146" s="26" t="s">
        <v>318</v>
      </c>
      <c r="C146" s="26" t="n">
        <v>0</v>
      </c>
      <c r="D146" s="26" t="n">
        <v>6</v>
      </c>
      <c r="E146" s="35" t="n">
        <f aca="false">IFERROR(C146/D146,0)</f>
        <v>0</v>
      </c>
      <c r="F146" s="26" t="n">
        <v>24.5</v>
      </c>
      <c r="G146" s="36" t="n">
        <f aca="false">INDEX($N$5:$N$9,MATCH(F146,$M$5:$M$9,1))</f>
        <v>0.003</v>
      </c>
      <c r="H146" s="26" t="n">
        <f aca="false">ROUND(D146*G146,0)</f>
        <v>0</v>
      </c>
      <c r="I146" s="26"/>
      <c r="J146" s="37" t="n">
        <f aca="false">IF(OR(B146="Brand / sitelink",B146="Sitelink / nav page",B146="Subdomain / www",B146="404: redirect"),0,MAX(0,H146-C146))</f>
        <v>0</v>
      </c>
    </row>
    <row r="147" customFormat="false" ht="15" hidden="false" customHeight="false" outlineLevel="0" collapsed="false">
      <c r="A147" s="23" t="s">
        <v>450</v>
      </c>
      <c r="B147" s="23" t="s">
        <v>301</v>
      </c>
      <c r="C147" s="23" t="n">
        <v>0</v>
      </c>
      <c r="D147" s="23" t="n">
        <v>5</v>
      </c>
      <c r="E147" s="30" t="n">
        <f aca="false">IFERROR(C147/D147,0)</f>
        <v>0</v>
      </c>
      <c r="F147" s="23" t="n">
        <v>6</v>
      </c>
      <c r="G147" s="31" t="n">
        <f aca="false">INDEX($N$5:$N$9,MATCH(F147,$M$5:$M$9,1))</f>
        <v>0.05</v>
      </c>
      <c r="H147" s="23" t="n">
        <f aca="false">ROUND(D147*G147,0)</f>
        <v>0</v>
      </c>
      <c r="I147" s="23"/>
      <c r="J147" s="32" t="n">
        <f aca="false">IF(OR(B147="Brand / sitelink",B147="Sitelink / nav page",B147="Subdomain / www",B147="404: redirect"),0,MAX(0,H147-C147))</f>
        <v>0</v>
      </c>
    </row>
    <row r="148" customFormat="false" ht="15" hidden="false" customHeight="false" outlineLevel="0" collapsed="false">
      <c r="A148" s="26" t="s">
        <v>451</v>
      </c>
      <c r="B148" s="26" t="s">
        <v>301</v>
      </c>
      <c r="C148" s="26" t="n">
        <v>0</v>
      </c>
      <c r="D148" s="26" t="n">
        <v>5</v>
      </c>
      <c r="E148" s="35" t="n">
        <f aca="false">IFERROR(C148/D148,0)</f>
        <v>0</v>
      </c>
      <c r="F148" s="26" t="n">
        <v>6.6</v>
      </c>
      <c r="G148" s="36" t="n">
        <f aca="false">INDEX($N$5:$N$9,MATCH(F148,$M$5:$M$9,1))</f>
        <v>0.025</v>
      </c>
      <c r="H148" s="26" t="n">
        <f aca="false">ROUND(D148*G148,0)</f>
        <v>0</v>
      </c>
      <c r="I148" s="26"/>
      <c r="J148" s="37" t="n">
        <f aca="false">IF(OR(B148="Brand / sitelink",B148="Sitelink / nav page",B148="Subdomain / www",B148="404: redirect"),0,MAX(0,H148-C148))</f>
        <v>0</v>
      </c>
    </row>
    <row r="149" customFormat="false" ht="15" hidden="false" customHeight="false" outlineLevel="0" collapsed="false">
      <c r="A149" s="23" t="s">
        <v>452</v>
      </c>
      <c r="B149" s="23" t="s">
        <v>301</v>
      </c>
      <c r="C149" s="23" t="n">
        <v>0</v>
      </c>
      <c r="D149" s="23" t="n">
        <v>5</v>
      </c>
      <c r="E149" s="30" t="n">
        <f aca="false">IFERROR(C149/D149,0)</f>
        <v>0</v>
      </c>
      <c r="F149" s="23" t="n">
        <v>8.4</v>
      </c>
      <c r="G149" s="31" t="n">
        <f aca="false">INDEX($N$5:$N$9,MATCH(F149,$M$5:$M$9,1))</f>
        <v>0.025</v>
      </c>
      <c r="H149" s="23" t="n">
        <f aca="false">ROUND(D149*G149,0)</f>
        <v>0</v>
      </c>
      <c r="I149" s="23"/>
      <c r="J149" s="32" t="n">
        <f aca="false">IF(OR(B149="Brand / sitelink",B149="Sitelink / nav page",B149="Subdomain / www",B149="404: redirect"),0,MAX(0,H149-C149))</f>
        <v>0</v>
      </c>
    </row>
    <row r="150" customFormat="false" ht="22.35" hidden="false" customHeight="false" outlineLevel="0" collapsed="false">
      <c r="A150" s="26" t="s">
        <v>453</v>
      </c>
      <c r="B150" s="26" t="s">
        <v>306</v>
      </c>
      <c r="C150" s="26" t="n">
        <v>0</v>
      </c>
      <c r="D150" s="26" t="n">
        <v>5</v>
      </c>
      <c r="E150" s="35" t="n">
        <f aca="false">IFERROR(C150/D150,0)</f>
        <v>0</v>
      </c>
      <c r="F150" s="26" t="n">
        <v>13.6</v>
      </c>
      <c r="G150" s="36" t="n">
        <f aca="false">INDEX($N$5:$N$9,MATCH(F150,$M$5:$M$9,1))</f>
        <v>0.01</v>
      </c>
      <c r="H150" s="26" t="n">
        <f aca="false">ROUND(D150*G150,0)</f>
        <v>0</v>
      </c>
      <c r="I150" s="26"/>
      <c r="J150" s="37" t="n">
        <f aca="false">IF(OR(B150="Brand / sitelink",B150="Sitelink / nav page",B150="Subdomain / www",B150="404: redirect"),0,MAX(0,H150-C150))</f>
        <v>0</v>
      </c>
    </row>
    <row r="151" customFormat="false" ht="22.35" hidden="false" customHeight="false" outlineLevel="0" collapsed="false">
      <c r="A151" s="23" t="s">
        <v>454</v>
      </c>
      <c r="B151" s="23" t="s">
        <v>301</v>
      </c>
      <c r="C151" s="23" t="n">
        <v>0</v>
      </c>
      <c r="D151" s="23" t="n">
        <v>4</v>
      </c>
      <c r="E151" s="30" t="n">
        <f aca="false">IFERROR(C151/D151,0)</f>
        <v>0</v>
      </c>
      <c r="F151" s="23" t="n">
        <v>6</v>
      </c>
      <c r="G151" s="31" t="n">
        <f aca="false">INDEX($N$5:$N$9,MATCH(F151,$M$5:$M$9,1))</f>
        <v>0.05</v>
      </c>
      <c r="H151" s="23" t="n">
        <f aca="false">ROUND(D151*G151,0)</f>
        <v>0</v>
      </c>
      <c r="I151" s="23"/>
      <c r="J151" s="32" t="n">
        <f aca="false">IF(OR(B151="Brand / sitelink",B151="Sitelink / nav page",B151="Subdomain / www",B151="404: redirect"),0,MAX(0,H151-C151))</f>
        <v>0</v>
      </c>
    </row>
    <row r="152" customFormat="false" ht="15" hidden="false" customHeight="false" outlineLevel="0" collapsed="false">
      <c r="A152" s="26" t="s">
        <v>455</v>
      </c>
      <c r="B152" s="26" t="s">
        <v>301</v>
      </c>
      <c r="C152" s="26" t="n">
        <v>0</v>
      </c>
      <c r="D152" s="26" t="n">
        <v>3</v>
      </c>
      <c r="E152" s="35" t="n">
        <f aca="false">IFERROR(C152/D152,0)</f>
        <v>0</v>
      </c>
      <c r="F152" s="26" t="n">
        <v>4.67</v>
      </c>
      <c r="G152" s="36" t="n">
        <f aca="false">INDEX($N$5:$N$9,MATCH(F152,$M$5:$M$9,1))</f>
        <v>0.05</v>
      </c>
      <c r="H152" s="26" t="n">
        <f aca="false">ROUND(D152*G152,0)</f>
        <v>0</v>
      </c>
      <c r="I152" s="26"/>
      <c r="J152" s="37" t="n">
        <f aca="false">IF(OR(B152="Brand / sitelink",B152="Sitelink / nav page",B152="Subdomain / www",B152="404: redirect"),0,MAX(0,H152-C152))</f>
        <v>0</v>
      </c>
    </row>
    <row r="153" customFormat="false" ht="22.35" hidden="false" customHeight="false" outlineLevel="0" collapsed="false">
      <c r="A153" s="23" t="s">
        <v>456</v>
      </c>
      <c r="B153" s="23" t="s">
        <v>301</v>
      </c>
      <c r="C153" s="23" t="n">
        <v>0</v>
      </c>
      <c r="D153" s="23" t="n">
        <v>3</v>
      </c>
      <c r="E153" s="30" t="n">
        <f aca="false">IFERROR(C153/D153,0)</f>
        <v>0</v>
      </c>
      <c r="F153" s="23" t="n">
        <v>7.33</v>
      </c>
      <c r="G153" s="31" t="n">
        <f aca="false">INDEX($N$5:$N$9,MATCH(F153,$M$5:$M$9,1))</f>
        <v>0.025</v>
      </c>
      <c r="H153" s="23" t="n">
        <f aca="false">ROUND(D153*G153,0)</f>
        <v>0</v>
      </c>
      <c r="I153" s="23"/>
      <c r="J153" s="32" t="n">
        <f aca="false">IF(OR(B153="Brand / sitelink",B153="Sitelink / nav page",B153="Subdomain / www",B153="404: redirect"),0,MAX(0,H153-C153))</f>
        <v>0</v>
      </c>
    </row>
    <row r="154" customFormat="false" ht="15" hidden="false" customHeight="false" outlineLevel="0" collapsed="false">
      <c r="A154" s="26" t="s">
        <v>457</v>
      </c>
      <c r="B154" s="26" t="s">
        <v>301</v>
      </c>
      <c r="C154" s="26" t="n">
        <v>0</v>
      </c>
      <c r="D154" s="26" t="n">
        <v>3</v>
      </c>
      <c r="E154" s="35" t="n">
        <f aca="false">IFERROR(C154/D154,0)</f>
        <v>0</v>
      </c>
      <c r="F154" s="26" t="n">
        <v>8.33</v>
      </c>
      <c r="G154" s="36" t="n">
        <f aca="false">INDEX($N$5:$N$9,MATCH(F154,$M$5:$M$9,1))</f>
        <v>0.025</v>
      </c>
      <c r="H154" s="26" t="n">
        <f aca="false">ROUND(D154*G154,0)</f>
        <v>0</v>
      </c>
      <c r="I154" s="26"/>
      <c r="J154" s="37" t="n">
        <f aca="false">IF(OR(B154="Brand / sitelink",B154="Sitelink / nav page",B154="Subdomain / www",B154="404: redirect"),0,MAX(0,H154-C154))</f>
        <v>0</v>
      </c>
    </row>
    <row r="155" customFormat="false" ht="22.35" hidden="false" customHeight="false" outlineLevel="0" collapsed="false">
      <c r="A155" s="23" t="s">
        <v>458</v>
      </c>
      <c r="B155" s="23" t="s">
        <v>306</v>
      </c>
      <c r="C155" s="23" t="n">
        <v>0</v>
      </c>
      <c r="D155" s="23" t="n">
        <v>3</v>
      </c>
      <c r="E155" s="30" t="n">
        <f aca="false">IFERROR(C155/D155,0)</f>
        <v>0</v>
      </c>
      <c r="F155" s="23" t="n">
        <v>11.67</v>
      </c>
      <c r="G155" s="31" t="n">
        <f aca="false">INDEX($N$5:$N$9,MATCH(F155,$M$5:$M$9,1))</f>
        <v>0.01</v>
      </c>
      <c r="H155" s="23" t="n">
        <f aca="false">ROUND(D155*G155,0)</f>
        <v>0</v>
      </c>
      <c r="I155" s="23"/>
      <c r="J155" s="32" t="n">
        <f aca="false">IF(OR(B155="Brand / sitelink",B155="Sitelink / nav page",B155="Subdomain / www",B155="404: redirect"),0,MAX(0,H155-C155))</f>
        <v>0</v>
      </c>
    </row>
    <row r="156" customFormat="false" ht="15" hidden="false" customHeight="false" outlineLevel="0" collapsed="false">
      <c r="A156" s="26" t="s">
        <v>459</v>
      </c>
      <c r="B156" s="26" t="s">
        <v>315</v>
      </c>
      <c r="C156" s="26" t="n">
        <v>0</v>
      </c>
      <c r="D156" s="26" t="n">
        <v>2</v>
      </c>
      <c r="E156" s="35" t="n">
        <f aca="false">IFERROR(C156/D156,0)</f>
        <v>0</v>
      </c>
      <c r="F156" s="26" t="n">
        <v>5.5</v>
      </c>
      <c r="G156" s="36" t="n">
        <f aca="false">INDEX($N$5:$N$9,MATCH(F156,$M$5:$M$9,1))</f>
        <v>0.05</v>
      </c>
      <c r="H156" s="26" t="n">
        <f aca="false">ROUND(D156*G156,0)</f>
        <v>0</v>
      </c>
      <c r="I156" s="26"/>
      <c r="J156" s="37" t="n">
        <f aca="false">IF(OR(B156="Brand / sitelink",B156="Sitelink / nav page",B156="Subdomain / www",B156="404: redirect"),0,MAX(0,H156-C156))</f>
        <v>0</v>
      </c>
    </row>
    <row r="157" customFormat="false" ht="22.35" hidden="false" customHeight="false" outlineLevel="0" collapsed="false">
      <c r="A157" s="23" t="s">
        <v>460</v>
      </c>
      <c r="B157" s="23" t="s">
        <v>301</v>
      </c>
      <c r="C157" s="23" t="n">
        <v>0</v>
      </c>
      <c r="D157" s="23" t="n">
        <v>2</v>
      </c>
      <c r="E157" s="30" t="n">
        <f aca="false">IFERROR(C157/D157,0)</f>
        <v>0</v>
      </c>
      <c r="F157" s="23" t="n">
        <v>5.5</v>
      </c>
      <c r="G157" s="31" t="n">
        <f aca="false">INDEX($N$5:$N$9,MATCH(F157,$M$5:$M$9,1))</f>
        <v>0.05</v>
      </c>
      <c r="H157" s="23" t="n">
        <f aca="false">ROUND(D157*G157,0)</f>
        <v>0</v>
      </c>
      <c r="I157" s="23"/>
      <c r="J157" s="32" t="n">
        <f aca="false">IF(OR(B157="Brand / sitelink",B157="Sitelink / nav page",B157="Subdomain / www",B157="404: redirect"),0,MAX(0,H157-C157))</f>
        <v>0</v>
      </c>
    </row>
    <row r="158" customFormat="false" ht="15" hidden="false" customHeight="false" outlineLevel="0" collapsed="false">
      <c r="A158" s="26" t="s">
        <v>461</v>
      </c>
      <c r="B158" s="26" t="s">
        <v>315</v>
      </c>
      <c r="C158" s="26" t="n">
        <v>0</v>
      </c>
      <c r="D158" s="26" t="n">
        <v>1</v>
      </c>
      <c r="E158" s="35" t="n">
        <f aca="false">IFERROR(C158/D158,0)</f>
        <v>0</v>
      </c>
      <c r="F158" s="26" t="n">
        <v>1</v>
      </c>
      <c r="G158" s="36" t="n">
        <f aca="false">INDEX($N$5:$N$9,MATCH(F158,$M$5:$M$9,1))</f>
        <v>0.1</v>
      </c>
      <c r="H158" s="26" t="n">
        <f aca="false">ROUND(D158*G158,0)</f>
        <v>0</v>
      </c>
      <c r="I158" s="26"/>
      <c r="J158" s="37" t="n">
        <f aca="false">IF(OR(B158="Brand / sitelink",B158="Sitelink / nav page",B158="Subdomain / www",B158="404: redirect"),0,MAX(0,H158-C158))</f>
        <v>0</v>
      </c>
    </row>
    <row r="159" customFormat="false" ht="15" hidden="false" customHeight="false" outlineLevel="0" collapsed="false">
      <c r="A159" s="23" t="s">
        <v>462</v>
      </c>
      <c r="B159" s="23" t="s">
        <v>315</v>
      </c>
      <c r="C159" s="23" t="n">
        <v>0</v>
      </c>
      <c r="D159" s="23" t="n">
        <v>1</v>
      </c>
      <c r="E159" s="30" t="n">
        <f aca="false">IFERROR(C159/D159,0)</f>
        <v>0</v>
      </c>
      <c r="F159" s="23" t="n">
        <v>2</v>
      </c>
      <c r="G159" s="31" t="n">
        <f aca="false">INDEX($N$5:$N$9,MATCH(F159,$M$5:$M$9,1))</f>
        <v>0.1</v>
      </c>
      <c r="H159" s="23" t="n">
        <f aca="false">ROUND(D159*G159,0)</f>
        <v>0</v>
      </c>
      <c r="I159" s="23"/>
      <c r="J159" s="32" t="n">
        <f aca="false">IF(OR(B159="Brand / sitelink",B159="Sitelink / nav page",B159="Subdomain / www",B159="404: redirect"),0,MAX(0,H159-C159))</f>
        <v>0</v>
      </c>
    </row>
    <row r="160" customFormat="false" ht="22.35" hidden="false" customHeight="false" outlineLevel="0" collapsed="false">
      <c r="A160" s="26" t="s">
        <v>463</v>
      </c>
      <c r="B160" s="26" t="s">
        <v>301</v>
      </c>
      <c r="C160" s="26" t="n">
        <v>0</v>
      </c>
      <c r="D160" s="26" t="n">
        <v>1</v>
      </c>
      <c r="E160" s="35" t="n">
        <f aca="false">IFERROR(C160/D160,0)</f>
        <v>0</v>
      </c>
      <c r="F160" s="26" t="n">
        <v>3</v>
      </c>
      <c r="G160" s="36" t="n">
        <f aca="false">INDEX($N$5:$N$9,MATCH(F160,$M$5:$M$9,1))</f>
        <v>0.1</v>
      </c>
      <c r="H160" s="26" t="n">
        <f aca="false">ROUND(D160*G160,0)</f>
        <v>0</v>
      </c>
      <c r="I160" s="26"/>
      <c r="J160" s="37" t="n">
        <f aca="false">IF(OR(B160="Brand / sitelink",B160="Sitelink / nav page",B160="Subdomain / www",B160="404: redirect"),0,MAX(0,H160-C160))</f>
        <v>0</v>
      </c>
    </row>
    <row r="161" customFormat="false" ht="15" hidden="false" customHeight="false" outlineLevel="0" collapsed="false">
      <c r="A161" s="23" t="s">
        <v>464</v>
      </c>
      <c r="B161" s="23" t="s">
        <v>315</v>
      </c>
      <c r="C161" s="23" t="n">
        <v>0</v>
      </c>
      <c r="D161" s="23" t="n">
        <v>1</v>
      </c>
      <c r="E161" s="30" t="n">
        <f aca="false">IFERROR(C161/D161,0)</f>
        <v>0</v>
      </c>
      <c r="F161" s="23" t="n">
        <v>6</v>
      </c>
      <c r="G161" s="31" t="n">
        <f aca="false">INDEX($N$5:$N$9,MATCH(F161,$M$5:$M$9,1))</f>
        <v>0.05</v>
      </c>
      <c r="H161" s="23" t="n">
        <f aca="false">ROUND(D161*G161,0)</f>
        <v>0</v>
      </c>
      <c r="I161" s="23"/>
      <c r="J161" s="32" t="n">
        <f aca="false">IF(OR(B161="Brand / sitelink",B161="Sitelink / nav page",B161="Subdomain / www",B161="404: redirect"),0,MAX(0,H161-C161))</f>
        <v>0</v>
      </c>
    </row>
    <row r="162" customFormat="false" ht="22.35" hidden="false" customHeight="false" outlineLevel="0" collapsed="false">
      <c r="A162" s="26" t="s">
        <v>465</v>
      </c>
      <c r="B162" s="26" t="s">
        <v>301</v>
      </c>
      <c r="C162" s="26" t="n">
        <v>0</v>
      </c>
      <c r="D162" s="26" t="n">
        <v>1</v>
      </c>
      <c r="E162" s="35" t="n">
        <f aca="false">IFERROR(C162/D162,0)</f>
        <v>0</v>
      </c>
      <c r="F162" s="26" t="n">
        <v>10</v>
      </c>
      <c r="G162" s="36" t="n">
        <f aca="false">INDEX($N$5:$N$9,MATCH(F162,$M$5:$M$9,1))</f>
        <v>0.025</v>
      </c>
      <c r="H162" s="26" t="n">
        <f aca="false">ROUND(D162*G162,0)</f>
        <v>0</v>
      </c>
      <c r="I162" s="26"/>
      <c r="J162" s="37" t="n">
        <f aca="false">IF(OR(B162="Brand / sitelink",B162="Sitelink / nav page",B162="Subdomain / www",B162="404: redirect"),0,MAX(0,H162-C162))</f>
        <v>0</v>
      </c>
    </row>
  </sheetData>
  <autoFilter ref="A4:J162"/>
  <conditionalFormatting sqref="B5:B162">
    <cfRule type="cellIs" priority="2" operator="equal" aboveAverage="0" equalAverage="0" bottom="0" percent="0" rank="0" text="" dxfId="0">
      <formula>"Page 1, low CTR"</formula>
    </cfRule>
    <cfRule type="cellIs" priority="3" operator="equal" aboveAverage="0" equalAverage="0" bottom="0" percent="0" rank="0" text="" dxfId="1">
      <formula>"Striking distance (11–20)"</formula>
    </cfRule>
    <cfRule type="cellIs" priority="4" operator="equal" aboveAverage="0" equalAverage="0" bottom="0" percent="0" rank="0" text="" dxfId="16">
      <formula>"404: redirect"</formula>
    </cfRule>
    <cfRule type="cellIs" priority="5" operator="equal" aboveAverage="0" equalAverage="0" bottom="0" percent="0" rank="0" text="" dxfId="17">
      <formula>"Deep (21+)"</formula>
    </cfRule>
  </conditionalFormatting>
  <conditionalFormatting sqref="J5:J162">
    <cfRule type="dataBar" priority="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{962C4853-8B60-4840-A255-EBB64DA4FE72}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2C4853-8B60-4840-A255-EBB64DA4FE72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J5:J162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48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60"/>
  </cols>
  <sheetData>
    <row r="1" customFormat="false" ht="19.7" hidden="false" customHeight="false" outlineLevel="0" collapsed="false">
      <c r="A1" s="1" t="s">
        <v>466</v>
      </c>
    </row>
    <row r="2" customFormat="false" ht="15" hidden="false" customHeight="false" outlineLevel="0" collapsed="false">
      <c r="A2" s="2" t="s">
        <v>467</v>
      </c>
    </row>
    <row r="4" customFormat="false" ht="30" hidden="false" customHeight="true" outlineLevel="0" collapsed="false">
      <c r="A4" s="25" t="s">
        <v>468</v>
      </c>
      <c r="B4" s="25" t="s">
        <v>469</v>
      </c>
      <c r="C4" s="25" t="s">
        <v>470</v>
      </c>
      <c r="D4" s="25" t="s">
        <v>471</v>
      </c>
      <c r="E4" s="25" t="s">
        <v>472</v>
      </c>
      <c r="F4" s="25" t="s">
        <v>473</v>
      </c>
      <c r="G4" s="25" t="s">
        <v>474</v>
      </c>
      <c r="H4" s="25" t="s">
        <v>475</v>
      </c>
      <c r="I4" s="25" t="s">
        <v>476</v>
      </c>
      <c r="J4" s="25" t="s">
        <v>65</v>
      </c>
      <c r="K4" s="25" t="s">
        <v>247</v>
      </c>
    </row>
    <row r="5" customFormat="false" ht="22.35" hidden="false" customHeight="false" outlineLevel="0" collapsed="false">
      <c r="A5" s="23" t="s">
        <v>477</v>
      </c>
      <c r="B5" s="23" t="s">
        <v>478</v>
      </c>
      <c r="C5" s="32" t="s">
        <v>479</v>
      </c>
      <c r="D5" s="23" t="n">
        <v>140</v>
      </c>
      <c r="E5" s="23" t="n">
        <v>10</v>
      </c>
      <c r="F5" s="38" t="n">
        <v>34.95</v>
      </c>
      <c r="G5" s="23" t="n">
        <v>20</v>
      </c>
      <c r="H5" s="23" t="s">
        <v>480</v>
      </c>
      <c r="I5" s="23" t="s">
        <v>75</v>
      </c>
      <c r="J5" s="23" t="s">
        <v>481</v>
      </c>
      <c r="K5" s="23" t="s">
        <v>482</v>
      </c>
    </row>
    <row r="6" customFormat="false" ht="15" hidden="false" customHeight="false" outlineLevel="0" collapsed="false">
      <c r="A6" s="26" t="s">
        <v>477</v>
      </c>
      <c r="B6" s="26" t="s">
        <v>483</v>
      </c>
      <c r="C6" s="37" t="s">
        <v>479</v>
      </c>
      <c r="D6" s="26" t="n">
        <v>140</v>
      </c>
      <c r="E6" s="26" t="n">
        <v>23</v>
      </c>
      <c r="F6" s="39" t="n">
        <v>19.25</v>
      </c>
      <c r="G6" s="26" t="n">
        <v>17</v>
      </c>
      <c r="H6" s="26" t="s">
        <v>484</v>
      </c>
      <c r="I6" s="26" t="s">
        <v>75</v>
      </c>
      <c r="J6" s="26" t="s">
        <v>481</v>
      </c>
      <c r="K6" s="26" t="s">
        <v>485</v>
      </c>
    </row>
    <row r="7" customFormat="false" ht="15" hidden="false" customHeight="false" outlineLevel="0" collapsed="false">
      <c r="A7" s="23" t="s">
        <v>477</v>
      </c>
      <c r="B7" s="23" t="s">
        <v>486</v>
      </c>
      <c r="C7" s="32" t="s">
        <v>479</v>
      </c>
      <c r="D7" s="23" t="n">
        <v>480</v>
      </c>
      <c r="E7" s="23" t="n">
        <v>43</v>
      </c>
      <c r="F7" s="38" t="n">
        <v>39.51</v>
      </c>
      <c r="G7" s="23" t="n">
        <v>25</v>
      </c>
      <c r="H7" s="23" t="s">
        <v>487</v>
      </c>
      <c r="I7" s="23" t="s">
        <v>75</v>
      </c>
      <c r="J7" s="23" t="s">
        <v>481</v>
      </c>
      <c r="K7" s="23" t="s">
        <v>488</v>
      </c>
    </row>
    <row r="8" customFormat="false" ht="15" hidden="false" customHeight="false" outlineLevel="0" collapsed="false">
      <c r="A8" s="26" t="s">
        <v>477</v>
      </c>
      <c r="B8" s="26" t="s">
        <v>489</v>
      </c>
      <c r="C8" s="37" t="s">
        <v>479</v>
      </c>
      <c r="D8" s="26" t="n">
        <v>260</v>
      </c>
      <c r="E8" s="26" t="n">
        <v>34</v>
      </c>
      <c r="F8" s="39" t="n">
        <v>25.16</v>
      </c>
      <c r="G8" s="26" t="n">
        <v>38</v>
      </c>
      <c r="H8" s="26" t="s">
        <v>490</v>
      </c>
      <c r="I8" s="26" t="s">
        <v>491</v>
      </c>
      <c r="J8" s="26" t="s">
        <v>492</v>
      </c>
      <c r="K8" s="26" t="s">
        <v>493</v>
      </c>
    </row>
    <row r="9" customFormat="false" ht="15" hidden="false" customHeight="false" outlineLevel="0" collapsed="false">
      <c r="A9" s="23" t="s">
        <v>477</v>
      </c>
      <c r="B9" s="23" t="s">
        <v>494</v>
      </c>
      <c r="C9" s="32" t="s">
        <v>479</v>
      </c>
      <c r="D9" s="23" t="n">
        <v>110</v>
      </c>
      <c r="E9" s="23" t="n">
        <v>38</v>
      </c>
      <c r="F9" s="38" t="n">
        <v>0</v>
      </c>
      <c r="G9" s="23" t="n">
        <v>59</v>
      </c>
      <c r="H9" s="23" t="s">
        <v>487</v>
      </c>
      <c r="I9" s="23" t="s">
        <v>75</v>
      </c>
      <c r="J9" s="23" t="s">
        <v>492</v>
      </c>
      <c r="K9" s="23" t="s">
        <v>495</v>
      </c>
    </row>
    <row r="10" customFormat="false" ht="22.35" hidden="false" customHeight="false" outlineLevel="0" collapsed="false">
      <c r="A10" s="26" t="s">
        <v>477</v>
      </c>
      <c r="B10" s="26" t="s">
        <v>496</v>
      </c>
      <c r="C10" s="37" t="s">
        <v>479</v>
      </c>
      <c r="D10" s="26" t="n">
        <v>50</v>
      </c>
      <c r="E10" s="26" t="n">
        <v>1</v>
      </c>
      <c r="F10" s="39" t="n">
        <v>18.18</v>
      </c>
      <c r="G10" s="26" t="n">
        <v>69</v>
      </c>
      <c r="H10" s="26" t="s">
        <v>497</v>
      </c>
      <c r="I10" s="26" t="s">
        <v>491</v>
      </c>
      <c r="J10" s="26" t="s">
        <v>492</v>
      </c>
      <c r="K10" s="26" t="s">
        <v>498</v>
      </c>
    </row>
    <row r="11" customFormat="false" ht="15" hidden="false" customHeight="false" outlineLevel="0" collapsed="false">
      <c r="A11" s="23" t="s">
        <v>499</v>
      </c>
      <c r="B11" s="23" t="s">
        <v>500</v>
      </c>
      <c r="C11" s="32" t="s">
        <v>479</v>
      </c>
      <c r="D11" s="23" t="n">
        <v>320</v>
      </c>
      <c r="E11" s="23" t="n">
        <v>47</v>
      </c>
      <c r="F11" s="38" t="n">
        <v>29.05</v>
      </c>
      <c r="G11" s="23" t="n">
        <v>76</v>
      </c>
      <c r="H11" s="23" t="s">
        <v>501</v>
      </c>
      <c r="I11" s="23" t="s">
        <v>75</v>
      </c>
      <c r="J11" s="23" t="s">
        <v>492</v>
      </c>
      <c r="K11" s="23" t="s">
        <v>502</v>
      </c>
    </row>
    <row r="12" customFormat="false" ht="15" hidden="false" customHeight="false" outlineLevel="0" collapsed="false">
      <c r="A12" s="26" t="s">
        <v>499</v>
      </c>
      <c r="B12" s="26" t="s">
        <v>503</v>
      </c>
      <c r="C12" s="37" t="s">
        <v>479</v>
      </c>
      <c r="D12" s="26" t="n">
        <v>170</v>
      </c>
      <c r="E12" s="26" t="n">
        <v>57</v>
      </c>
      <c r="F12" s="39" t="n">
        <v>91.81</v>
      </c>
      <c r="G12" s="26" t="n">
        <v>73</v>
      </c>
      <c r="H12" s="26" t="s">
        <v>501</v>
      </c>
      <c r="I12" s="26" t="s">
        <v>75</v>
      </c>
      <c r="J12" s="26" t="s">
        <v>492</v>
      </c>
      <c r="K12" s="26" t="s">
        <v>504</v>
      </c>
    </row>
    <row r="13" customFormat="false" ht="15" hidden="false" customHeight="false" outlineLevel="0" collapsed="false">
      <c r="A13" s="23" t="s">
        <v>499</v>
      </c>
      <c r="B13" s="23" t="s">
        <v>505</v>
      </c>
      <c r="C13" s="32" t="s">
        <v>479</v>
      </c>
      <c r="D13" s="23" t="n">
        <v>210</v>
      </c>
      <c r="E13" s="23" t="n">
        <v>50</v>
      </c>
      <c r="F13" s="38" t="n">
        <v>0</v>
      </c>
      <c r="G13" s="23" t="n">
        <v>79</v>
      </c>
      <c r="H13" s="23" t="s">
        <v>506</v>
      </c>
      <c r="I13" s="23" t="s">
        <v>75</v>
      </c>
      <c r="J13" s="23" t="s">
        <v>492</v>
      </c>
      <c r="K13" s="23" t="s">
        <v>507</v>
      </c>
    </row>
    <row r="14" customFormat="false" ht="22.35" hidden="false" customHeight="false" outlineLevel="0" collapsed="false">
      <c r="A14" s="26" t="s">
        <v>499</v>
      </c>
      <c r="B14" s="26" t="s">
        <v>508</v>
      </c>
      <c r="C14" s="37" t="s">
        <v>479</v>
      </c>
      <c r="D14" s="26" t="n">
        <v>170</v>
      </c>
      <c r="E14" s="26" t="n">
        <v>35</v>
      </c>
      <c r="F14" s="39" t="n">
        <v>0</v>
      </c>
      <c r="G14" s="26" t="n">
        <v>69</v>
      </c>
      <c r="H14" s="26" t="s">
        <v>506</v>
      </c>
      <c r="I14" s="26" t="s">
        <v>75</v>
      </c>
      <c r="J14" s="26" t="s">
        <v>481</v>
      </c>
      <c r="K14" s="26" t="s">
        <v>509</v>
      </c>
    </row>
    <row r="15" customFormat="false" ht="15" hidden="false" customHeight="false" outlineLevel="0" collapsed="false">
      <c r="A15" s="23" t="s">
        <v>499</v>
      </c>
      <c r="B15" s="23" t="s">
        <v>510</v>
      </c>
      <c r="C15" s="32" t="s">
        <v>479</v>
      </c>
      <c r="D15" s="23" t="n">
        <v>170</v>
      </c>
      <c r="E15" s="23" t="n">
        <v>21</v>
      </c>
      <c r="F15" s="38" t="n">
        <v>0</v>
      </c>
      <c r="G15" s="23" t="n">
        <v>32</v>
      </c>
      <c r="H15" s="23" t="s">
        <v>511</v>
      </c>
      <c r="I15" s="23" t="s">
        <v>491</v>
      </c>
      <c r="J15" s="23" t="s">
        <v>512</v>
      </c>
      <c r="K15" s="23" t="s">
        <v>513</v>
      </c>
    </row>
    <row r="16" customFormat="false" ht="15" hidden="false" customHeight="false" outlineLevel="0" collapsed="false">
      <c r="A16" s="26" t="s">
        <v>499</v>
      </c>
      <c r="B16" s="26" t="s">
        <v>514</v>
      </c>
      <c r="C16" s="37" t="s">
        <v>479</v>
      </c>
      <c r="D16" s="26" t="n">
        <v>140</v>
      </c>
      <c r="E16" s="26" t="n">
        <v>24</v>
      </c>
      <c r="F16" s="39" t="n">
        <v>0</v>
      </c>
      <c r="G16" s="26" t="n">
        <v>33</v>
      </c>
      <c r="H16" s="26" t="s">
        <v>515</v>
      </c>
      <c r="I16" s="26" t="s">
        <v>491</v>
      </c>
      <c r="J16" s="26" t="s">
        <v>512</v>
      </c>
      <c r="K16" s="26" t="s">
        <v>516</v>
      </c>
    </row>
    <row r="17" customFormat="false" ht="15" hidden="false" customHeight="false" outlineLevel="0" collapsed="false">
      <c r="A17" s="23" t="s">
        <v>517</v>
      </c>
      <c r="B17" s="23" t="s">
        <v>518</v>
      </c>
      <c r="C17" s="32" t="s">
        <v>479</v>
      </c>
      <c r="D17" s="23" t="n">
        <v>50</v>
      </c>
      <c r="E17" s="23" t="n">
        <v>1</v>
      </c>
      <c r="F17" s="38" t="n">
        <v>0</v>
      </c>
      <c r="G17" s="23" t="n">
        <v>13</v>
      </c>
      <c r="H17" s="23" t="s">
        <v>519</v>
      </c>
      <c r="I17" s="23" t="s">
        <v>491</v>
      </c>
      <c r="J17" s="23" t="s">
        <v>492</v>
      </c>
      <c r="K17" s="23" t="s">
        <v>520</v>
      </c>
    </row>
    <row r="18" customFormat="false" ht="15" hidden="false" customHeight="false" outlineLevel="0" collapsed="false">
      <c r="A18" s="26" t="s">
        <v>521</v>
      </c>
      <c r="B18" s="26" t="s">
        <v>522</v>
      </c>
      <c r="C18" s="37" t="s">
        <v>479</v>
      </c>
      <c r="D18" s="26" t="n">
        <v>210</v>
      </c>
      <c r="E18" s="26" t="n">
        <v>9</v>
      </c>
      <c r="F18" s="39" t="n">
        <v>0</v>
      </c>
      <c r="G18" s="26" t="n">
        <v>11</v>
      </c>
      <c r="H18" s="26" t="s">
        <v>523</v>
      </c>
      <c r="I18" s="26" t="s">
        <v>75</v>
      </c>
      <c r="J18" s="26" t="s">
        <v>512</v>
      </c>
      <c r="K18" s="26" t="s">
        <v>524</v>
      </c>
    </row>
    <row r="19" customFormat="false" ht="15" hidden="false" customHeight="false" outlineLevel="0" collapsed="false">
      <c r="A19" s="23" t="s">
        <v>499</v>
      </c>
      <c r="B19" s="23" t="s">
        <v>525</v>
      </c>
      <c r="C19" s="32" t="s">
        <v>526</v>
      </c>
      <c r="D19" s="23"/>
      <c r="E19" s="23"/>
      <c r="F19" s="38"/>
      <c r="G19" s="23"/>
      <c r="H19" s="23" t="s">
        <v>506</v>
      </c>
      <c r="I19" s="23" t="s">
        <v>75</v>
      </c>
      <c r="J19" s="23" t="s">
        <v>481</v>
      </c>
      <c r="K19" s="23" t="s">
        <v>527</v>
      </c>
    </row>
    <row r="20" customFormat="false" ht="22.35" hidden="false" customHeight="false" outlineLevel="0" collapsed="false">
      <c r="A20" s="26" t="s">
        <v>499</v>
      </c>
      <c r="B20" s="26" t="s">
        <v>528</v>
      </c>
      <c r="C20" s="37" t="s">
        <v>526</v>
      </c>
      <c r="D20" s="26"/>
      <c r="E20" s="26"/>
      <c r="F20" s="39"/>
      <c r="G20" s="26"/>
      <c r="H20" s="26" t="s">
        <v>506</v>
      </c>
      <c r="I20" s="26" t="s">
        <v>75</v>
      </c>
      <c r="J20" s="26" t="s">
        <v>481</v>
      </c>
      <c r="K20" s="26" t="s">
        <v>529</v>
      </c>
    </row>
    <row r="21" customFormat="false" ht="15" hidden="false" customHeight="false" outlineLevel="0" collapsed="false">
      <c r="A21" s="23" t="s">
        <v>499</v>
      </c>
      <c r="B21" s="23" t="s">
        <v>530</v>
      </c>
      <c r="C21" s="32" t="s">
        <v>526</v>
      </c>
      <c r="D21" s="23"/>
      <c r="E21" s="23"/>
      <c r="F21" s="38"/>
      <c r="G21" s="23"/>
      <c r="H21" s="23" t="s">
        <v>506</v>
      </c>
      <c r="I21" s="23" t="s">
        <v>75</v>
      </c>
      <c r="J21" s="23" t="s">
        <v>481</v>
      </c>
      <c r="K21" s="23" t="s">
        <v>531</v>
      </c>
    </row>
    <row r="22" customFormat="false" ht="22.35" hidden="false" customHeight="false" outlineLevel="0" collapsed="false">
      <c r="A22" s="26" t="s">
        <v>499</v>
      </c>
      <c r="B22" s="26" t="s">
        <v>532</v>
      </c>
      <c r="C22" s="37" t="s">
        <v>526</v>
      </c>
      <c r="D22" s="26"/>
      <c r="E22" s="26"/>
      <c r="F22" s="39"/>
      <c r="G22" s="26"/>
      <c r="H22" s="26" t="s">
        <v>533</v>
      </c>
      <c r="I22" s="26" t="s">
        <v>75</v>
      </c>
      <c r="J22" s="26" t="s">
        <v>481</v>
      </c>
      <c r="K22" s="26" t="s">
        <v>534</v>
      </c>
    </row>
    <row r="23" customFormat="false" ht="15" hidden="false" customHeight="false" outlineLevel="0" collapsed="false">
      <c r="A23" s="23" t="s">
        <v>499</v>
      </c>
      <c r="B23" s="23" t="s">
        <v>535</v>
      </c>
      <c r="C23" s="32" t="s">
        <v>526</v>
      </c>
      <c r="D23" s="23"/>
      <c r="E23" s="23"/>
      <c r="F23" s="38"/>
      <c r="G23" s="23"/>
      <c r="H23" s="23" t="s">
        <v>536</v>
      </c>
      <c r="I23" s="23" t="s">
        <v>75</v>
      </c>
      <c r="J23" s="23" t="s">
        <v>492</v>
      </c>
      <c r="K23" s="23" t="s">
        <v>537</v>
      </c>
    </row>
    <row r="24" customFormat="false" ht="15" hidden="false" customHeight="false" outlineLevel="0" collapsed="false">
      <c r="A24" s="26" t="s">
        <v>499</v>
      </c>
      <c r="B24" s="26" t="s">
        <v>538</v>
      </c>
      <c r="C24" s="37" t="s">
        <v>526</v>
      </c>
      <c r="D24" s="26"/>
      <c r="E24" s="26"/>
      <c r="F24" s="39"/>
      <c r="G24" s="26"/>
      <c r="H24" s="26" t="s">
        <v>539</v>
      </c>
      <c r="I24" s="26" t="s">
        <v>75</v>
      </c>
      <c r="J24" s="26" t="s">
        <v>492</v>
      </c>
      <c r="K24" s="26" t="s">
        <v>540</v>
      </c>
    </row>
    <row r="25" customFormat="false" ht="15" hidden="false" customHeight="false" outlineLevel="0" collapsed="false">
      <c r="A25" s="23" t="s">
        <v>499</v>
      </c>
      <c r="B25" s="23" t="s">
        <v>541</v>
      </c>
      <c r="C25" s="32" t="s">
        <v>526</v>
      </c>
      <c r="D25" s="23"/>
      <c r="E25" s="23"/>
      <c r="F25" s="38"/>
      <c r="G25" s="23"/>
      <c r="H25" s="23" t="s">
        <v>542</v>
      </c>
      <c r="I25" s="23" t="s">
        <v>491</v>
      </c>
      <c r="J25" s="23" t="s">
        <v>512</v>
      </c>
      <c r="K25" s="23" t="s">
        <v>543</v>
      </c>
    </row>
    <row r="26" customFormat="false" ht="15" hidden="false" customHeight="false" outlineLevel="0" collapsed="false">
      <c r="A26" s="26" t="s">
        <v>477</v>
      </c>
      <c r="B26" s="26" t="s">
        <v>544</v>
      </c>
      <c r="C26" s="37" t="s">
        <v>526</v>
      </c>
      <c r="D26" s="26"/>
      <c r="E26" s="26"/>
      <c r="F26" s="39"/>
      <c r="G26" s="26"/>
      <c r="H26" s="26" t="s">
        <v>487</v>
      </c>
      <c r="I26" s="26" t="s">
        <v>75</v>
      </c>
      <c r="J26" s="26" t="s">
        <v>481</v>
      </c>
      <c r="K26" s="26" t="s">
        <v>545</v>
      </c>
    </row>
    <row r="27" customFormat="false" ht="15" hidden="false" customHeight="false" outlineLevel="0" collapsed="false">
      <c r="A27" s="23" t="s">
        <v>546</v>
      </c>
      <c r="B27" s="23" t="s">
        <v>547</v>
      </c>
      <c r="C27" s="32" t="s">
        <v>526</v>
      </c>
      <c r="D27" s="23"/>
      <c r="E27" s="23"/>
      <c r="F27" s="38"/>
      <c r="G27" s="23"/>
      <c r="H27" s="23" t="s">
        <v>548</v>
      </c>
      <c r="I27" s="23" t="s">
        <v>491</v>
      </c>
      <c r="J27" s="23" t="s">
        <v>481</v>
      </c>
      <c r="K27" s="23" t="s">
        <v>549</v>
      </c>
    </row>
    <row r="28" customFormat="false" ht="15" hidden="false" customHeight="false" outlineLevel="0" collapsed="false">
      <c r="A28" s="26" t="s">
        <v>546</v>
      </c>
      <c r="B28" s="26" t="s">
        <v>550</v>
      </c>
      <c r="C28" s="37" t="s">
        <v>526</v>
      </c>
      <c r="D28" s="26"/>
      <c r="E28" s="26"/>
      <c r="F28" s="39"/>
      <c r="G28" s="26"/>
      <c r="H28" s="26" t="s">
        <v>551</v>
      </c>
      <c r="I28" s="26" t="s">
        <v>75</v>
      </c>
      <c r="J28" s="26" t="s">
        <v>481</v>
      </c>
      <c r="K28" s="26" t="s">
        <v>552</v>
      </c>
    </row>
    <row r="29" customFormat="false" ht="15" hidden="false" customHeight="false" outlineLevel="0" collapsed="false">
      <c r="A29" s="23" t="s">
        <v>546</v>
      </c>
      <c r="B29" s="23" t="s">
        <v>553</v>
      </c>
      <c r="C29" s="32" t="s">
        <v>526</v>
      </c>
      <c r="D29" s="23"/>
      <c r="E29" s="23"/>
      <c r="F29" s="38"/>
      <c r="G29" s="23"/>
      <c r="H29" s="23" t="s">
        <v>554</v>
      </c>
      <c r="I29" s="23" t="s">
        <v>491</v>
      </c>
      <c r="J29" s="23" t="s">
        <v>492</v>
      </c>
      <c r="K29" s="23" t="s">
        <v>555</v>
      </c>
    </row>
    <row r="30" customFormat="false" ht="15" hidden="false" customHeight="false" outlineLevel="0" collapsed="false">
      <c r="A30" s="26" t="s">
        <v>517</v>
      </c>
      <c r="B30" s="26" t="s">
        <v>556</v>
      </c>
      <c r="C30" s="37" t="s">
        <v>526</v>
      </c>
      <c r="D30" s="26"/>
      <c r="E30" s="26"/>
      <c r="F30" s="39"/>
      <c r="G30" s="26"/>
      <c r="H30" s="26" t="s">
        <v>557</v>
      </c>
      <c r="I30" s="26" t="s">
        <v>491</v>
      </c>
      <c r="J30" s="26" t="s">
        <v>492</v>
      </c>
      <c r="K30" s="26" t="s">
        <v>558</v>
      </c>
    </row>
    <row r="31" customFormat="false" ht="15" hidden="false" customHeight="false" outlineLevel="0" collapsed="false">
      <c r="A31" s="23" t="s">
        <v>559</v>
      </c>
      <c r="B31" s="23" t="s">
        <v>560</v>
      </c>
      <c r="C31" s="32" t="s">
        <v>526</v>
      </c>
      <c r="D31" s="23"/>
      <c r="E31" s="23"/>
      <c r="F31" s="38"/>
      <c r="G31" s="23"/>
      <c r="H31" s="23" t="s">
        <v>561</v>
      </c>
      <c r="I31" s="23" t="s">
        <v>75</v>
      </c>
      <c r="J31" s="23" t="s">
        <v>492</v>
      </c>
      <c r="K31" s="23" t="s">
        <v>562</v>
      </c>
    </row>
    <row r="32" customFormat="false" ht="15" hidden="false" customHeight="false" outlineLevel="0" collapsed="false">
      <c r="A32" s="26" t="s">
        <v>521</v>
      </c>
      <c r="B32" s="26" t="s">
        <v>563</v>
      </c>
      <c r="C32" s="37" t="s">
        <v>526</v>
      </c>
      <c r="D32" s="26"/>
      <c r="E32" s="26"/>
      <c r="F32" s="39"/>
      <c r="G32" s="26"/>
      <c r="H32" s="26" t="s">
        <v>564</v>
      </c>
      <c r="I32" s="26" t="s">
        <v>75</v>
      </c>
      <c r="J32" s="26" t="s">
        <v>492</v>
      </c>
      <c r="K32" s="26" t="s">
        <v>565</v>
      </c>
    </row>
    <row r="33" customFormat="false" ht="15" hidden="false" customHeight="false" outlineLevel="0" collapsed="false">
      <c r="A33" s="23" t="s">
        <v>566</v>
      </c>
      <c r="B33" s="23" t="s">
        <v>567</v>
      </c>
      <c r="C33" s="32" t="s">
        <v>526</v>
      </c>
      <c r="D33" s="23"/>
      <c r="E33" s="23"/>
      <c r="F33" s="38"/>
      <c r="G33" s="23"/>
      <c r="H33" s="23" t="s">
        <v>568</v>
      </c>
      <c r="I33" s="23" t="s">
        <v>75</v>
      </c>
      <c r="J33" s="23" t="s">
        <v>512</v>
      </c>
      <c r="K33" s="23" t="s">
        <v>569</v>
      </c>
    </row>
  </sheetData>
  <autoFilter ref="A4:K33"/>
  <conditionalFormatting sqref="J5:J33">
    <cfRule type="cellIs" priority="2" operator="equal" aboveAverage="0" equalAverage="0" bottom="0" percent="0" rank="0" text="" dxfId="0">
      <formula>"P1"</formula>
    </cfRule>
    <cfRule type="cellIs" priority="3" operator="equal" aboveAverage="0" equalAverage="0" bottom="0" percent="0" rank="0" text="" dxfId="1">
      <formula>"P2"</formula>
    </cfRule>
  </conditionalFormatting>
  <conditionalFormatting sqref="C5:C33">
    <cfRule type="cellIs" priority="4" operator="equal" aboveAverage="0" equalAverage="0" bottom="0" percent="0" rank="0" text="" dxfId="19">
      <formula>"New: verify"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570</v>
      </c>
    </row>
    <row r="2" customFormat="false" ht="15" hidden="false" customHeight="false" outlineLevel="0" collapsed="false">
      <c r="A2" s="2" t="s">
        <v>571</v>
      </c>
    </row>
    <row r="4" customFormat="false" ht="30" hidden="false" customHeight="true" outlineLevel="0" collapsed="false">
      <c r="A4" s="25" t="s">
        <v>7</v>
      </c>
      <c r="B4" s="25" t="s">
        <v>572</v>
      </c>
      <c r="C4" s="25" t="s">
        <v>573</v>
      </c>
      <c r="D4" s="25" t="s">
        <v>574</v>
      </c>
      <c r="E4" s="25" t="s">
        <v>468</v>
      </c>
      <c r="F4" s="25" t="s">
        <v>286</v>
      </c>
      <c r="G4" s="25" t="s">
        <v>575</v>
      </c>
      <c r="H4" s="25" t="s">
        <v>576</v>
      </c>
      <c r="I4" s="25" t="s">
        <v>72</v>
      </c>
      <c r="J4" s="25" t="s">
        <v>73</v>
      </c>
    </row>
    <row r="5" customFormat="false" ht="22.35" hidden="false" customHeight="false" outlineLevel="0" collapsed="false">
      <c r="A5" s="23" t="s">
        <v>577</v>
      </c>
      <c r="B5" s="32" t="s">
        <v>578</v>
      </c>
      <c r="C5" s="23" t="s">
        <v>579</v>
      </c>
      <c r="D5" s="23" t="s">
        <v>478</v>
      </c>
      <c r="E5" s="23" t="s">
        <v>477</v>
      </c>
      <c r="F5" s="23" t="s">
        <v>480</v>
      </c>
      <c r="G5" s="23" t="s">
        <v>564</v>
      </c>
      <c r="H5" s="23" t="s">
        <v>580</v>
      </c>
      <c r="I5" s="23"/>
      <c r="J5" s="23" t="s">
        <v>81</v>
      </c>
    </row>
    <row r="6" customFormat="false" ht="22.35" hidden="false" customHeight="false" outlineLevel="0" collapsed="false">
      <c r="A6" s="26" t="s">
        <v>577</v>
      </c>
      <c r="B6" s="37" t="s">
        <v>578</v>
      </c>
      <c r="C6" s="26" t="s">
        <v>581</v>
      </c>
      <c r="D6" s="26" t="s">
        <v>582</v>
      </c>
      <c r="E6" s="26" t="s">
        <v>477</v>
      </c>
      <c r="F6" s="26" t="s">
        <v>583</v>
      </c>
      <c r="G6" s="26" t="s">
        <v>487</v>
      </c>
      <c r="H6" s="26" t="s">
        <v>584</v>
      </c>
      <c r="I6" s="26"/>
      <c r="J6" s="26" t="s">
        <v>81</v>
      </c>
    </row>
    <row r="7" customFormat="false" ht="22.35" hidden="false" customHeight="false" outlineLevel="0" collapsed="false">
      <c r="A7" s="23" t="s">
        <v>577</v>
      </c>
      <c r="B7" s="32" t="s">
        <v>585</v>
      </c>
      <c r="C7" s="23" t="s">
        <v>586</v>
      </c>
      <c r="D7" s="23" t="s">
        <v>587</v>
      </c>
      <c r="E7" s="23" t="s">
        <v>477</v>
      </c>
      <c r="F7" s="23" t="s">
        <v>487</v>
      </c>
      <c r="G7" s="23" t="s">
        <v>588</v>
      </c>
      <c r="H7" s="23" t="s">
        <v>589</v>
      </c>
      <c r="I7" s="23"/>
      <c r="J7" s="23" t="s">
        <v>81</v>
      </c>
    </row>
    <row r="8" customFormat="false" ht="15" hidden="false" customHeight="false" outlineLevel="0" collapsed="false">
      <c r="A8" s="26" t="s">
        <v>577</v>
      </c>
      <c r="B8" s="37" t="s">
        <v>578</v>
      </c>
      <c r="C8" s="26" t="s">
        <v>590</v>
      </c>
      <c r="D8" s="26" t="s">
        <v>591</v>
      </c>
      <c r="E8" s="26" t="s">
        <v>499</v>
      </c>
      <c r="F8" s="26" t="s">
        <v>501</v>
      </c>
      <c r="G8" s="26" t="s">
        <v>506</v>
      </c>
      <c r="H8" s="26" t="s">
        <v>592</v>
      </c>
      <c r="I8" s="26"/>
      <c r="J8" s="26" t="s">
        <v>81</v>
      </c>
    </row>
    <row r="9" customFormat="false" ht="15" hidden="false" customHeight="false" outlineLevel="0" collapsed="false">
      <c r="A9" s="23" t="s">
        <v>593</v>
      </c>
      <c r="B9" s="32" t="s">
        <v>585</v>
      </c>
      <c r="C9" s="23" t="s">
        <v>594</v>
      </c>
      <c r="D9" s="23" t="s">
        <v>528</v>
      </c>
      <c r="E9" s="23" t="s">
        <v>499</v>
      </c>
      <c r="F9" s="23" t="s">
        <v>506</v>
      </c>
      <c r="G9" s="23" t="s">
        <v>588</v>
      </c>
      <c r="H9" s="23" t="s">
        <v>595</v>
      </c>
      <c r="I9" s="23"/>
      <c r="J9" s="23" t="s">
        <v>81</v>
      </c>
    </row>
    <row r="10" customFormat="false" ht="15" hidden="false" customHeight="false" outlineLevel="0" collapsed="false">
      <c r="A10" s="26" t="s">
        <v>593</v>
      </c>
      <c r="B10" s="37" t="s">
        <v>596</v>
      </c>
      <c r="C10" s="26" t="s">
        <v>597</v>
      </c>
      <c r="D10" s="26" t="s">
        <v>598</v>
      </c>
      <c r="E10" s="26" t="s">
        <v>566</v>
      </c>
      <c r="F10" s="26" t="s">
        <v>599</v>
      </c>
      <c r="G10" s="26" t="s">
        <v>600</v>
      </c>
      <c r="H10" s="26" t="s">
        <v>601</v>
      </c>
      <c r="I10" s="26"/>
      <c r="J10" s="26" t="s">
        <v>81</v>
      </c>
    </row>
    <row r="11" customFormat="false" ht="15" hidden="false" customHeight="false" outlineLevel="0" collapsed="false">
      <c r="A11" s="23" t="s">
        <v>593</v>
      </c>
      <c r="B11" s="32" t="s">
        <v>578</v>
      </c>
      <c r="C11" s="23" t="s">
        <v>602</v>
      </c>
      <c r="D11" s="23" t="s">
        <v>483</v>
      </c>
      <c r="E11" s="23" t="s">
        <v>477</v>
      </c>
      <c r="F11" s="23" t="s">
        <v>484</v>
      </c>
      <c r="G11" s="23" t="s">
        <v>487</v>
      </c>
      <c r="H11" s="23" t="s">
        <v>603</v>
      </c>
      <c r="I11" s="23"/>
      <c r="J11" s="23" t="s">
        <v>81</v>
      </c>
    </row>
    <row r="12" customFormat="false" ht="22.35" hidden="false" customHeight="false" outlineLevel="0" collapsed="false">
      <c r="A12" s="26" t="s">
        <v>593</v>
      </c>
      <c r="B12" s="37" t="s">
        <v>604</v>
      </c>
      <c r="C12" s="26" t="s">
        <v>605</v>
      </c>
      <c r="D12" s="26" t="s">
        <v>496</v>
      </c>
      <c r="E12" s="26" t="s">
        <v>477</v>
      </c>
      <c r="F12" s="26" t="s">
        <v>606</v>
      </c>
      <c r="G12" s="26" t="s">
        <v>487</v>
      </c>
      <c r="H12" s="26" t="s">
        <v>607</v>
      </c>
      <c r="I12" s="26"/>
      <c r="J12" s="26" t="s">
        <v>81</v>
      </c>
    </row>
    <row r="13" customFormat="false" ht="22.35" hidden="false" customHeight="false" outlineLevel="0" collapsed="false">
      <c r="A13" s="23" t="s">
        <v>608</v>
      </c>
      <c r="B13" s="32" t="s">
        <v>609</v>
      </c>
      <c r="C13" s="23" t="s">
        <v>610</v>
      </c>
      <c r="D13" s="23" t="s">
        <v>611</v>
      </c>
      <c r="E13" s="23" t="s">
        <v>499</v>
      </c>
      <c r="F13" s="23" t="s">
        <v>612</v>
      </c>
      <c r="G13" s="23" t="s">
        <v>613</v>
      </c>
      <c r="H13" s="23" t="s">
        <v>614</v>
      </c>
      <c r="I13" s="23"/>
      <c r="J13" s="23" t="s">
        <v>81</v>
      </c>
    </row>
    <row r="14" customFormat="false" ht="15" hidden="false" customHeight="false" outlineLevel="0" collapsed="false">
      <c r="A14" s="26" t="s">
        <v>608</v>
      </c>
      <c r="B14" s="37" t="s">
        <v>609</v>
      </c>
      <c r="C14" s="26" t="s">
        <v>615</v>
      </c>
      <c r="D14" s="26" t="s">
        <v>535</v>
      </c>
      <c r="E14" s="26" t="s">
        <v>499</v>
      </c>
      <c r="F14" s="26" t="s">
        <v>616</v>
      </c>
      <c r="G14" s="26" t="s">
        <v>506</v>
      </c>
      <c r="H14" s="26" t="s">
        <v>617</v>
      </c>
      <c r="I14" s="26"/>
      <c r="J14" s="26" t="s">
        <v>81</v>
      </c>
    </row>
    <row r="15" customFormat="false" ht="15" hidden="false" customHeight="false" outlineLevel="0" collapsed="false">
      <c r="A15" s="23" t="s">
        <v>608</v>
      </c>
      <c r="B15" s="32" t="s">
        <v>618</v>
      </c>
      <c r="C15" s="23" t="s">
        <v>619</v>
      </c>
      <c r="D15" s="23" t="s">
        <v>528</v>
      </c>
      <c r="E15" s="23" t="s">
        <v>499</v>
      </c>
      <c r="F15" s="23" t="s">
        <v>620</v>
      </c>
      <c r="G15" s="23" t="s">
        <v>506</v>
      </c>
      <c r="H15" s="23" t="s">
        <v>621</v>
      </c>
      <c r="I15" s="23"/>
      <c r="J15" s="23" t="s">
        <v>81</v>
      </c>
    </row>
    <row r="16" customFormat="false" ht="15" hidden="false" customHeight="false" outlineLevel="0" collapsed="false">
      <c r="A16" s="26" t="s">
        <v>608</v>
      </c>
      <c r="B16" s="37" t="s">
        <v>578</v>
      </c>
      <c r="C16" s="26" t="s">
        <v>622</v>
      </c>
      <c r="D16" s="26" t="s">
        <v>623</v>
      </c>
      <c r="E16" s="26" t="s">
        <v>624</v>
      </c>
      <c r="F16" s="26" t="s">
        <v>625</v>
      </c>
      <c r="G16" s="26" t="s">
        <v>626</v>
      </c>
      <c r="H16" s="26" t="s">
        <v>627</v>
      </c>
      <c r="I16" s="26"/>
      <c r="J16" s="26" t="s">
        <v>81</v>
      </c>
    </row>
    <row r="17" customFormat="false" ht="15" hidden="false" customHeight="false" outlineLevel="0" collapsed="false">
      <c r="A17" s="23" t="s">
        <v>628</v>
      </c>
      <c r="B17" s="32" t="s">
        <v>629</v>
      </c>
      <c r="C17" s="23" t="s">
        <v>630</v>
      </c>
      <c r="D17" s="23" t="s">
        <v>547</v>
      </c>
      <c r="E17" s="23" t="s">
        <v>546</v>
      </c>
      <c r="F17" s="23" t="s">
        <v>631</v>
      </c>
      <c r="G17" s="23" t="s">
        <v>551</v>
      </c>
      <c r="H17" s="23" t="s">
        <v>632</v>
      </c>
      <c r="I17" s="23"/>
      <c r="J17" s="23" t="s">
        <v>81</v>
      </c>
    </row>
    <row r="18" customFormat="false" ht="15" hidden="false" customHeight="false" outlineLevel="0" collapsed="false">
      <c r="A18" s="26" t="s">
        <v>628</v>
      </c>
      <c r="B18" s="37" t="s">
        <v>618</v>
      </c>
      <c r="C18" s="26" t="s">
        <v>633</v>
      </c>
      <c r="D18" s="26" t="s">
        <v>553</v>
      </c>
      <c r="E18" s="26" t="s">
        <v>546</v>
      </c>
      <c r="F18" s="26" t="s">
        <v>634</v>
      </c>
      <c r="G18" s="26" t="s">
        <v>551</v>
      </c>
      <c r="H18" s="26"/>
      <c r="I18" s="26"/>
      <c r="J18" s="26" t="s">
        <v>81</v>
      </c>
    </row>
    <row r="19" customFormat="false" ht="15" hidden="false" customHeight="false" outlineLevel="0" collapsed="false">
      <c r="A19" s="23" t="s">
        <v>628</v>
      </c>
      <c r="B19" s="32" t="s">
        <v>618</v>
      </c>
      <c r="C19" s="23" t="s">
        <v>635</v>
      </c>
      <c r="D19" s="23" t="s">
        <v>636</v>
      </c>
      <c r="E19" s="23" t="s">
        <v>517</v>
      </c>
      <c r="F19" s="23" t="s">
        <v>637</v>
      </c>
      <c r="G19" s="23" t="s">
        <v>638</v>
      </c>
      <c r="H19" s="23"/>
      <c r="I19" s="23"/>
      <c r="J19" s="23" t="s">
        <v>81</v>
      </c>
    </row>
    <row r="20" customFormat="false" ht="15" hidden="false" customHeight="false" outlineLevel="0" collapsed="false">
      <c r="A20" s="26" t="s">
        <v>628</v>
      </c>
      <c r="B20" s="37" t="s">
        <v>639</v>
      </c>
      <c r="C20" s="26" t="s">
        <v>640</v>
      </c>
      <c r="D20" s="26" t="s">
        <v>538</v>
      </c>
      <c r="E20" s="26" t="s">
        <v>499</v>
      </c>
      <c r="F20" s="26" t="s">
        <v>641</v>
      </c>
      <c r="G20" s="26" t="s">
        <v>506</v>
      </c>
      <c r="H20" s="26" t="s">
        <v>642</v>
      </c>
      <c r="I20" s="26"/>
      <c r="J20" s="26" t="s">
        <v>81</v>
      </c>
    </row>
    <row r="21" customFormat="false" ht="22.35" hidden="false" customHeight="false" outlineLevel="0" collapsed="false">
      <c r="A21" s="23" t="s">
        <v>643</v>
      </c>
      <c r="B21" s="32" t="s">
        <v>639</v>
      </c>
      <c r="C21" s="23" t="s">
        <v>644</v>
      </c>
      <c r="D21" s="23" t="s">
        <v>560</v>
      </c>
      <c r="E21" s="23" t="s">
        <v>559</v>
      </c>
      <c r="F21" s="23" t="s">
        <v>645</v>
      </c>
      <c r="G21" s="23" t="s">
        <v>600</v>
      </c>
      <c r="H21" s="23" t="s">
        <v>646</v>
      </c>
      <c r="I21" s="23"/>
      <c r="J21" s="23" t="s">
        <v>81</v>
      </c>
    </row>
    <row r="22" customFormat="false" ht="22.35" hidden="false" customHeight="false" outlineLevel="0" collapsed="false">
      <c r="A22" s="26" t="s">
        <v>643</v>
      </c>
      <c r="B22" s="37" t="s">
        <v>647</v>
      </c>
      <c r="C22" s="26" t="s">
        <v>648</v>
      </c>
      <c r="D22" s="26" t="s">
        <v>649</v>
      </c>
      <c r="E22" s="26" t="s">
        <v>650</v>
      </c>
      <c r="F22" s="26" t="s">
        <v>651</v>
      </c>
      <c r="G22" s="26" t="s">
        <v>652</v>
      </c>
      <c r="H22" s="26" t="s">
        <v>653</v>
      </c>
      <c r="I22" s="26"/>
      <c r="J22" s="26" t="s">
        <v>81</v>
      </c>
    </row>
    <row r="23" customFormat="false" ht="15" hidden="false" customHeight="false" outlineLevel="0" collapsed="false">
      <c r="A23" s="23" t="s">
        <v>643</v>
      </c>
      <c r="B23" s="32" t="s">
        <v>578</v>
      </c>
      <c r="C23" s="23" t="s">
        <v>654</v>
      </c>
      <c r="D23" s="23" t="s">
        <v>655</v>
      </c>
      <c r="E23" s="23" t="s">
        <v>499</v>
      </c>
      <c r="F23" s="23" t="s">
        <v>656</v>
      </c>
      <c r="G23" s="23" t="s">
        <v>657</v>
      </c>
      <c r="H23" s="23" t="s">
        <v>658</v>
      </c>
      <c r="I23" s="23"/>
      <c r="J23" s="23" t="s">
        <v>81</v>
      </c>
    </row>
    <row r="24" customFormat="false" ht="15" hidden="false" customHeight="false" outlineLevel="0" collapsed="false">
      <c r="A24" s="26" t="s">
        <v>643</v>
      </c>
      <c r="B24" s="37" t="s">
        <v>578</v>
      </c>
      <c r="C24" s="26" t="s">
        <v>659</v>
      </c>
      <c r="D24" s="26" t="s">
        <v>660</v>
      </c>
      <c r="E24" s="26" t="s">
        <v>499</v>
      </c>
      <c r="F24" s="26" t="s">
        <v>515</v>
      </c>
      <c r="G24" s="26" t="s">
        <v>506</v>
      </c>
      <c r="H24" s="26" t="s">
        <v>661</v>
      </c>
      <c r="I24" s="26"/>
      <c r="J24" s="26" t="s">
        <v>81</v>
      </c>
    </row>
    <row r="25" customFormat="false" ht="15" hidden="false" customHeight="false" outlineLevel="0" collapsed="false">
      <c r="A25" s="23" t="s">
        <v>662</v>
      </c>
      <c r="B25" s="32" t="s">
        <v>618</v>
      </c>
      <c r="C25" s="23" t="s">
        <v>663</v>
      </c>
      <c r="D25" s="23" t="s">
        <v>664</v>
      </c>
      <c r="E25" s="23" t="s">
        <v>521</v>
      </c>
      <c r="F25" s="23" t="s">
        <v>665</v>
      </c>
      <c r="G25" s="23" t="s">
        <v>564</v>
      </c>
      <c r="H25" s="23" t="s">
        <v>666</v>
      </c>
      <c r="I25" s="23"/>
      <c r="J25" s="23" t="s">
        <v>81</v>
      </c>
    </row>
    <row r="26" customFormat="false" ht="15" hidden="false" customHeight="false" outlineLevel="0" collapsed="false">
      <c r="A26" s="26" t="s">
        <v>662</v>
      </c>
      <c r="B26" s="37" t="s">
        <v>604</v>
      </c>
      <c r="C26" s="26" t="s">
        <v>667</v>
      </c>
      <c r="D26" s="26" t="s">
        <v>668</v>
      </c>
      <c r="E26" s="26" t="s">
        <v>650</v>
      </c>
      <c r="F26" s="26" t="s">
        <v>669</v>
      </c>
      <c r="G26" s="26" t="s">
        <v>670</v>
      </c>
      <c r="H26" s="26" t="s">
        <v>671</v>
      </c>
      <c r="I26" s="26"/>
      <c r="J26" s="26" t="s">
        <v>81</v>
      </c>
    </row>
    <row r="27" customFormat="false" ht="15" hidden="false" customHeight="false" outlineLevel="0" collapsed="false">
      <c r="A27" s="23" t="s">
        <v>662</v>
      </c>
      <c r="B27" s="32" t="s">
        <v>618</v>
      </c>
      <c r="C27" s="23" t="s">
        <v>672</v>
      </c>
      <c r="D27" s="23" t="s">
        <v>541</v>
      </c>
      <c r="E27" s="23" t="s">
        <v>499</v>
      </c>
      <c r="F27" s="23" t="s">
        <v>673</v>
      </c>
      <c r="G27" s="23" t="s">
        <v>626</v>
      </c>
      <c r="H27" s="23" t="s">
        <v>674</v>
      </c>
      <c r="I27" s="23"/>
      <c r="J27" s="23" t="s">
        <v>81</v>
      </c>
    </row>
    <row r="28" customFormat="false" ht="15" hidden="false" customHeight="false" outlineLevel="0" collapsed="false">
      <c r="A28" s="26" t="s">
        <v>662</v>
      </c>
      <c r="B28" s="37" t="s">
        <v>578</v>
      </c>
      <c r="C28" s="26" t="s">
        <v>675</v>
      </c>
      <c r="D28" s="26" t="s">
        <v>676</v>
      </c>
      <c r="E28" s="26" t="s">
        <v>624</v>
      </c>
      <c r="F28" s="26" t="s">
        <v>626</v>
      </c>
      <c r="G28" s="26" t="s">
        <v>677</v>
      </c>
      <c r="H28" s="26" t="s">
        <v>678</v>
      </c>
      <c r="I28" s="26"/>
      <c r="J28" s="26" t="s">
        <v>81</v>
      </c>
    </row>
  </sheetData>
  <autoFilter ref="A4:J28"/>
  <conditionalFormatting sqref="J5:J28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0">
      <formula>"Blocked"</formula>
    </cfRule>
  </conditionalFormatting>
  <conditionalFormatting sqref="B5:B40">
    <cfRule type="cellIs" priority="4" operator="equal" aboveAverage="0" equalAverage="0" bottom="0" percent="0" rank="0" text="" dxfId="17">
      <formula>"Refresh"</formula>
    </cfRule>
    <cfRule type="cellIs" priority="5" operator="equal" aboveAverage="0" equalAverage="0" bottom="0" percent="0" rank="0" text="" dxfId="0">
      <formula>"Service page"</formula>
    </cfRule>
    <cfRule type="cellIs" priority="6" operator="equal" aboveAverage="0" equalAverage="0" bottom="0" percent="0" rank="0" text="" dxfId="0">
      <formula>"New (commercial)"</formula>
    </cfRule>
    <cfRule type="cellIs" priority="7" operator="equal" aboveAverage="0" equalAverage="0" bottom="0" percent="0" rank="0" text="" dxfId="22">
      <formula>"Link asset"</formula>
    </cfRule>
    <cfRule type="cellIs" priority="8" operator="equal" aboveAverage="0" equalAverage="0" bottom="0" percent="0" rank="0" text="" dxfId="1">
      <formula>"Industry page"</formula>
    </cfRule>
    <cfRule type="cellIs" priority="9" operator="equal" aboveAverage="0" equalAverage="0" bottom="0" percent="0" rank="0" text="" dxfId="23">
      <formula>"Merge"</formula>
    </cfRule>
    <cfRule type="cellIs" priority="10" operator="equal" aboveAverage="0" equalAverage="0" bottom="0" percent="0" rank="0" text="" dxfId="23">
      <formula>"Restore"</formula>
    </cfRule>
  </conditionalFormatting>
  <dataValidations count="1">
    <dataValidation allowBlank="true" errorStyle="stop" operator="between" showDropDown="false" showErrorMessage="false" showInputMessage="false" sqref="J5:J28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4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679</v>
      </c>
    </row>
    <row r="2" customFormat="false" ht="15" hidden="false" customHeight="false" outlineLevel="0" collapsed="false">
      <c r="A2" s="2" t="s">
        <v>680</v>
      </c>
    </row>
    <row r="4" customFormat="false" ht="30" hidden="false" customHeight="true" outlineLevel="0" collapsed="false">
      <c r="A4" s="25" t="s">
        <v>681</v>
      </c>
      <c r="B4" s="25" t="s">
        <v>682</v>
      </c>
      <c r="C4" s="25" t="s">
        <v>683</v>
      </c>
      <c r="D4" s="25" t="s">
        <v>684</v>
      </c>
      <c r="E4" s="25" t="s">
        <v>685</v>
      </c>
      <c r="F4" s="25" t="s">
        <v>686</v>
      </c>
      <c r="G4" s="25" t="s">
        <v>687</v>
      </c>
      <c r="H4" s="25" t="s">
        <v>688</v>
      </c>
    </row>
    <row r="5" customFormat="false" ht="60" hidden="false" customHeight="true" outlineLevel="0" collapsed="false">
      <c r="A5" s="23" t="s">
        <v>689</v>
      </c>
      <c r="B5" s="23" t="s">
        <v>690</v>
      </c>
      <c r="C5" s="23" t="s">
        <v>691</v>
      </c>
      <c r="D5" s="23" t="s">
        <v>692</v>
      </c>
      <c r="E5" s="23" t="s">
        <v>693</v>
      </c>
      <c r="F5" s="23" t="s">
        <v>694</v>
      </c>
      <c r="G5" s="23" t="s">
        <v>695</v>
      </c>
      <c r="H5" s="23" t="s">
        <v>696</v>
      </c>
    </row>
    <row r="6" customFormat="false" ht="60" hidden="false" customHeight="true" outlineLevel="0" collapsed="false">
      <c r="A6" s="26" t="s">
        <v>697</v>
      </c>
      <c r="B6" s="26" t="s">
        <v>690</v>
      </c>
      <c r="C6" s="26" t="s">
        <v>698</v>
      </c>
      <c r="D6" s="26" t="s">
        <v>699</v>
      </c>
      <c r="E6" s="26" t="s">
        <v>700</v>
      </c>
      <c r="F6" s="26" t="s">
        <v>701</v>
      </c>
      <c r="G6" s="26" t="s">
        <v>702</v>
      </c>
      <c r="H6" s="26" t="s">
        <v>703</v>
      </c>
    </row>
    <row r="7" customFormat="false" ht="60" hidden="false" customHeight="true" outlineLevel="0" collapsed="false">
      <c r="A7" s="23" t="s">
        <v>704</v>
      </c>
      <c r="B7" s="23" t="s">
        <v>705</v>
      </c>
      <c r="C7" s="23" t="s">
        <v>706</v>
      </c>
      <c r="D7" s="23" t="s">
        <v>707</v>
      </c>
      <c r="E7" s="23" t="s">
        <v>708</v>
      </c>
      <c r="F7" s="23" t="s">
        <v>709</v>
      </c>
      <c r="G7" s="23" t="s">
        <v>710</v>
      </c>
      <c r="H7" s="23" t="s">
        <v>711</v>
      </c>
    </row>
    <row r="8" customFormat="false" ht="60" hidden="false" customHeight="true" outlineLevel="0" collapsed="false">
      <c r="A8" s="26" t="s">
        <v>712</v>
      </c>
      <c r="B8" s="26" t="s">
        <v>713</v>
      </c>
      <c r="C8" s="26" t="s">
        <v>714</v>
      </c>
      <c r="D8" s="26" t="s">
        <v>191</v>
      </c>
      <c r="E8" s="26" t="s">
        <v>715</v>
      </c>
      <c r="F8" s="26" t="s">
        <v>716</v>
      </c>
      <c r="G8" s="26" t="s">
        <v>717</v>
      </c>
      <c r="H8" s="26" t="s">
        <v>718</v>
      </c>
    </row>
    <row r="9" customFormat="false" ht="60" hidden="false" customHeight="true" outlineLevel="0" collapsed="false">
      <c r="A9" s="23" t="s">
        <v>719</v>
      </c>
      <c r="B9" s="23" t="s">
        <v>720</v>
      </c>
      <c r="C9" s="23" t="s">
        <v>721</v>
      </c>
      <c r="D9" s="23" t="s">
        <v>191</v>
      </c>
      <c r="E9" s="23" t="s">
        <v>722</v>
      </c>
      <c r="F9" s="23" t="s">
        <v>723</v>
      </c>
      <c r="G9" s="23" t="s">
        <v>724</v>
      </c>
      <c r="H9" s="23" t="s">
        <v>725</v>
      </c>
    </row>
    <row r="10" customFormat="false" ht="60" hidden="false" customHeight="true" outlineLevel="0" collapsed="false">
      <c r="A10" s="26" t="s">
        <v>726</v>
      </c>
      <c r="B10" s="26" t="s">
        <v>727</v>
      </c>
      <c r="C10" s="26" t="s">
        <v>728</v>
      </c>
      <c r="D10" s="26" t="s">
        <v>191</v>
      </c>
      <c r="E10" s="26" t="s">
        <v>729</v>
      </c>
      <c r="F10" s="26" t="s">
        <v>723</v>
      </c>
      <c r="G10" s="26" t="s">
        <v>730</v>
      </c>
      <c r="H10" s="26" t="s">
        <v>731</v>
      </c>
    </row>
    <row r="11" customFormat="false" ht="60" hidden="false" customHeight="true" outlineLevel="0" collapsed="false">
      <c r="A11" s="23" t="s">
        <v>732</v>
      </c>
      <c r="B11" s="23" t="s">
        <v>733</v>
      </c>
      <c r="C11" s="23" t="s">
        <v>734</v>
      </c>
      <c r="D11" s="23" t="s">
        <v>735</v>
      </c>
      <c r="E11" s="23" t="s">
        <v>736</v>
      </c>
      <c r="F11" s="23" t="s">
        <v>723</v>
      </c>
      <c r="G11" s="23" t="s">
        <v>737</v>
      </c>
      <c r="H11" s="23" t="s">
        <v>738</v>
      </c>
    </row>
    <row r="13" customFormat="false" ht="15" hidden="false" customHeight="false" outlineLevel="0" collapsed="false">
      <c r="A13" s="40" t="s">
        <v>739</v>
      </c>
    </row>
    <row r="14" customFormat="false" ht="30" hidden="false" customHeight="true" outlineLevel="0" collapsed="false">
      <c r="A14" s="25" t="s">
        <v>469</v>
      </c>
      <c r="B14" s="25" t="s">
        <v>740</v>
      </c>
      <c r="C14" s="25" t="s">
        <v>741</v>
      </c>
      <c r="D14" s="25" t="s">
        <v>742</v>
      </c>
      <c r="E14" s="25" t="s">
        <v>743</v>
      </c>
    </row>
    <row r="15" customFormat="false" ht="45" hidden="false" customHeight="true" outlineLevel="0" collapsed="false">
      <c r="A15" s="23" t="s">
        <v>744</v>
      </c>
      <c r="B15" s="23" t="s">
        <v>745</v>
      </c>
      <c r="C15" s="23" t="s">
        <v>746</v>
      </c>
      <c r="D15" s="23" t="s">
        <v>747</v>
      </c>
      <c r="E15" s="23" t="s">
        <v>748</v>
      </c>
    </row>
    <row r="16" customFormat="false" ht="45" hidden="false" customHeight="true" outlineLevel="0" collapsed="false">
      <c r="A16" s="26" t="s">
        <v>749</v>
      </c>
      <c r="B16" s="26" t="s">
        <v>750</v>
      </c>
      <c r="C16" s="26" t="s">
        <v>751</v>
      </c>
      <c r="D16" s="26" t="s">
        <v>752</v>
      </c>
      <c r="E16" s="26" t="s">
        <v>753</v>
      </c>
    </row>
    <row r="17" customFormat="false" ht="45" hidden="false" customHeight="true" outlineLevel="0" collapsed="false">
      <c r="A17" s="23" t="s">
        <v>528</v>
      </c>
      <c r="B17" s="23" t="s">
        <v>754</v>
      </c>
      <c r="C17" s="23" t="s">
        <v>755</v>
      </c>
      <c r="D17" s="23" t="s">
        <v>756</v>
      </c>
      <c r="E17" s="23" t="s">
        <v>757</v>
      </c>
    </row>
    <row r="18" customFormat="false" ht="45" hidden="false" customHeight="true" outlineLevel="0" collapsed="false">
      <c r="A18" s="26" t="s">
        <v>758</v>
      </c>
      <c r="B18" s="26" t="s">
        <v>759</v>
      </c>
      <c r="C18" s="26" t="s">
        <v>760</v>
      </c>
      <c r="D18" s="26" t="s">
        <v>761</v>
      </c>
      <c r="E18" s="26" t="s">
        <v>762</v>
      </c>
    </row>
    <row r="19" customFormat="false" ht="45" hidden="false" customHeight="true" outlineLevel="0" collapsed="false">
      <c r="A19" s="23" t="s">
        <v>478</v>
      </c>
      <c r="B19" s="23" t="s">
        <v>763</v>
      </c>
      <c r="C19" s="23" t="s">
        <v>764</v>
      </c>
      <c r="D19" s="23" t="s">
        <v>765</v>
      </c>
      <c r="E19" s="23" t="s">
        <v>766</v>
      </c>
    </row>
    <row r="20" customFormat="false" ht="45" hidden="false" customHeight="true" outlineLevel="0" collapsed="false">
      <c r="A20" s="26" t="s">
        <v>767</v>
      </c>
      <c r="B20" s="26" t="s">
        <v>768</v>
      </c>
      <c r="C20" s="26" t="s">
        <v>769</v>
      </c>
      <c r="D20" s="26" t="s">
        <v>770</v>
      </c>
      <c r="E20" s="26" t="s">
        <v>771</v>
      </c>
    </row>
    <row r="21" customFormat="false" ht="45" hidden="false" customHeight="true" outlineLevel="0" collapsed="false">
      <c r="A21" s="23" t="s">
        <v>772</v>
      </c>
      <c r="B21" s="23" t="s">
        <v>773</v>
      </c>
      <c r="C21" s="23" t="s">
        <v>774</v>
      </c>
      <c r="D21" s="23" t="s">
        <v>775</v>
      </c>
      <c r="E21" s="23" t="s">
        <v>776</v>
      </c>
    </row>
  </sheetData>
  <autoFilter ref="A14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6" min="5" style="0" width="12"/>
  </cols>
  <sheetData>
    <row r="1" customFormat="false" ht="19.7" hidden="false" customHeight="false" outlineLevel="0" collapsed="false">
      <c r="A1" s="1" t="s">
        <v>777</v>
      </c>
    </row>
    <row r="2" customFormat="false" ht="15" hidden="false" customHeight="false" outlineLevel="0" collapsed="false">
      <c r="A2" s="2" t="s">
        <v>778</v>
      </c>
    </row>
    <row r="4" customFormat="false" ht="30" hidden="false" customHeight="true" outlineLevel="0" collapsed="false">
      <c r="A4" s="25" t="s">
        <v>779</v>
      </c>
      <c r="B4" s="25" t="s">
        <v>572</v>
      </c>
      <c r="C4" s="25" t="s">
        <v>780</v>
      </c>
      <c r="D4" s="25" t="s">
        <v>247</v>
      </c>
      <c r="E4" s="25" t="s">
        <v>72</v>
      </c>
      <c r="F4" s="25" t="s">
        <v>73</v>
      </c>
    </row>
    <row r="5" customFormat="false" ht="15" hidden="false" customHeight="false" outlineLevel="0" collapsed="false">
      <c r="A5" s="23" t="s">
        <v>781</v>
      </c>
      <c r="B5" s="23" t="s">
        <v>782</v>
      </c>
      <c r="C5" s="23" t="s">
        <v>783</v>
      </c>
      <c r="D5" s="23" t="s">
        <v>784</v>
      </c>
      <c r="E5" s="23"/>
      <c r="F5" s="23" t="s">
        <v>81</v>
      </c>
    </row>
    <row r="6" customFormat="false" ht="15" hidden="false" customHeight="false" outlineLevel="0" collapsed="false">
      <c r="A6" s="26" t="s">
        <v>785</v>
      </c>
      <c r="B6" s="26" t="s">
        <v>782</v>
      </c>
      <c r="C6" s="26" t="s">
        <v>723</v>
      </c>
      <c r="D6" s="26" t="s">
        <v>786</v>
      </c>
      <c r="E6" s="26"/>
      <c r="F6" s="26" t="s">
        <v>81</v>
      </c>
    </row>
    <row r="7" customFormat="false" ht="15" hidden="false" customHeight="false" outlineLevel="0" collapsed="false">
      <c r="A7" s="23" t="s">
        <v>787</v>
      </c>
      <c r="B7" s="23" t="s">
        <v>782</v>
      </c>
      <c r="C7" s="23" t="s">
        <v>723</v>
      </c>
      <c r="D7" s="23" t="s">
        <v>788</v>
      </c>
      <c r="E7" s="23"/>
      <c r="F7" s="23" t="s">
        <v>81</v>
      </c>
    </row>
    <row r="8" customFormat="false" ht="15" hidden="false" customHeight="false" outlineLevel="0" collapsed="false">
      <c r="A8" s="26" t="s">
        <v>789</v>
      </c>
      <c r="B8" s="26" t="s">
        <v>782</v>
      </c>
      <c r="C8" s="26" t="s">
        <v>723</v>
      </c>
      <c r="D8" s="26" t="s">
        <v>788</v>
      </c>
      <c r="E8" s="26"/>
      <c r="F8" s="26" t="s">
        <v>81</v>
      </c>
    </row>
    <row r="9" customFormat="false" ht="15" hidden="false" customHeight="false" outlineLevel="0" collapsed="false">
      <c r="A9" s="23" t="s">
        <v>790</v>
      </c>
      <c r="B9" s="23" t="s">
        <v>791</v>
      </c>
      <c r="C9" s="23" t="s">
        <v>761</v>
      </c>
      <c r="D9" s="23" t="s">
        <v>792</v>
      </c>
      <c r="E9" s="23"/>
      <c r="F9" s="23" t="s">
        <v>81</v>
      </c>
    </row>
    <row r="10" customFormat="false" ht="15" hidden="false" customHeight="false" outlineLevel="0" collapsed="false">
      <c r="A10" s="26" t="s">
        <v>793</v>
      </c>
      <c r="B10" s="26" t="s">
        <v>794</v>
      </c>
      <c r="C10" s="26" t="s">
        <v>761</v>
      </c>
      <c r="D10" s="26" t="s">
        <v>795</v>
      </c>
      <c r="E10" s="26"/>
      <c r="F10" s="26" t="s">
        <v>81</v>
      </c>
    </row>
    <row r="11" customFormat="false" ht="15" hidden="false" customHeight="false" outlineLevel="0" collapsed="false">
      <c r="A11" s="23" t="s">
        <v>796</v>
      </c>
      <c r="B11" s="23" t="s">
        <v>797</v>
      </c>
      <c r="C11" s="23" t="s">
        <v>761</v>
      </c>
      <c r="D11" s="23" t="s">
        <v>798</v>
      </c>
      <c r="E11" s="23"/>
      <c r="F11" s="23" t="s">
        <v>81</v>
      </c>
    </row>
    <row r="12" customFormat="false" ht="15" hidden="false" customHeight="false" outlineLevel="0" collapsed="false">
      <c r="A12" s="26" t="s">
        <v>799</v>
      </c>
      <c r="B12" s="26" t="s">
        <v>791</v>
      </c>
      <c r="C12" s="26" t="s">
        <v>761</v>
      </c>
      <c r="D12" s="26" t="s">
        <v>800</v>
      </c>
      <c r="E12" s="26"/>
      <c r="F12" s="26" t="s">
        <v>81</v>
      </c>
    </row>
    <row r="13" customFormat="false" ht="15" hidden="false" customHeight="false" outlineLevel="0" collapsed="false">
      <c r="A13" s="23" t="s">
        <v>801</v>
      </c>
      <c r="B13" s="23" t="s">
        <v>791</v>
      </c>
      <c r="C13" s="23" t="s">
        <v>761</v>
      </c>
      <c r="D13" s="23" t="s">
        <v>800</v>
      </c>
      <c r="E13" s="23"/>
      <c r="F13" s="23" t="s">
        <v>81</v>
      </c>
    </row>
    <row r="14" customFormat="false" ht="15" hidden="false" customHeight="false" outlineLevel="0" collapsed="false">
      <c r="A14" s="26" t="s">
        <v>802</v>
      </c>
      <c r="B14" s="26" t="s">
        <v>791</v>
      </c>
      <c r="C14" s="26" t="s">
        <v>761</v>
      </c>
      <c r="D14" s="26" t="s">
        <v>800</v>
      </c>
      <c r="E14" s="26"/>
      <c r="F14" s="26" t="s">
        <v>81</v>
      </c>
    </row>
    <row r="15" customFormat="false" ht="15" hidden="false" customHeight="false" outlineLevel="0" collapsed="false">
      <c r="A15" s="23" t="s">
        <v>803</v>
      </c>
      <c r="B15" s="23" t="s">
        <v>791</v>
      </c>
      <c r="C15" s="23" t="s">
        <v>761</v>
      </c>
      <c r="D15" s="23" t="s">
        <v>800</v>
      </c>
      <c r="E15" s="23"/>
      <c r="F15" s="23" t="s">
        <v>81</v>
      </c>
    </row>
    <row r="16" customFormat="false" ht="15" hidden="false" customHeight="false" outlineLevel="0" collapsed="false">
      <c r="A16" s="26" t="s">
        <v>804</v>
      </c>
      <c r="B16" s="26" t="s">
        <v>791</v>
      </c>
      <c r="C16" s="26" t="s">
        <v>761</v>
      </c>
      <c r="D16" s="26" t="s">
        <v>800</v>
      </c>
      <c r="E16" s="26"/>
      <c r="F16" s="26" t="s">
        <v>81</v>
      </c>
    </row>
    <row r="17" customFormat="false" ht="15" hidden="false" customHeight="false" outlineLevel="0" collapsed="false">
      <c r="A17" s="23" t="s">
        <v>805</v>
      </c>
      <c r="B17" s="23" t="s">
        <v>791</v>
      </c>
      <c r="C17" s="23" t="s">
        <v>761</v>
      </c>
      <c r="D17" s="23" t="s">
        <v>800</v>
      </c>
      <c r="E17" s="23"/>
      <c r="F17" s="23" t="s">
        <v>81</v>
      </c>
    </row>
    <row r="18" customFormat="false" ht="15" hidden="false" customHeight="false" outlineLevel="0" collapsed="false">
      <c r="A18" s="26" t="s">
        <v>806</v>
      </c>
      <c r="B18" s="26" t="s">
        <v>791</v>
      </c>
      <c r="C18" s="26" t="s">
        <v>761</v>
      </c>
      <c r="D18" s="26" t="s">
        <v>800</v>
      </c>
      <c r="E18" s="26"/>
      <c r="F18" s="26" t="s">
        <v>81</v>
      </c>
    </row>
    <row r="19" customFormat="false" ht="15" hidden="false" customHeight="false" outlineLevel="0" collapsed="false">
      <c r="A19" s="23" t="s">
        <v>807</v>
      </c>
      <c r="B19" s="23" t="s">
        <v>791</v>
      </c>
      <c r="C19" s="23" t="s">
        <v>761</v>
      </c>
      <c r="D19" s="23" t="s">
        <v>800</v>
      </c>
      <c r="E19" s="23"/>
      <c r="F19" s="23" t="s">
        <v>81</v>
      </c>
    </row>
  </sheetData>
  <autoFilter ref="A4:F19"/>
  <conditionalFormatting sqref="F5:F19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0">
      <formula>"Blocked"</formula>
    </cfRule>
  </conditionalFormatting>
  <dataValidations count="1">
    <dataValidation allowBlank="true" errorStyle="stop" operator="between" showDropDown="false" showErrorMessage="false" showInputMessage="false" sqref="F5:F1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0"/>
    <col collapsed="false" customWidth="true" hidden="false" outlineLevel="0" max="3" min="3" style="0" width="3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808</v>
      </c>
    </row>
    <row r="2" customFormat="false" ht="15" hidden="false" customHeight="false" outlineLevel="0" collapsed="false">
      <c r="A2" s="2" t="s">
        <v>809</v>
      </c>
    </row>
    <row r="4" customFormat="false" ht="30" hidden="false" customHeight="true" outlineLevel="0" collapsed="false">
      <c r="A4" s="25" t="s">
        <v>810</v>
      </c>
      <c r="B4" s="25" t="s">
        <v>811</v>
      </c>
      <c r="C4" s="25" t="s">
        <v>812</v>
      </c>
      <c r="D4" s="25" t="s">
        <v>70</v>
      </c>
      <c r="E4" s="25" t="s">
        <v>73</v>
      </c>
    </row>
    <row r="5" customFormat="false" ht="15" hidden="false" customHeight="false" outlineLevel="0" collapsed="false">
      <c r="A5" s="23" t="s">
        <v>599</v>
      </c>
      <c r="B5" s="23" t="s">
        <v>813</v>
      </c>
      <c r="C5" s="23" t="s">
        <v>814</v>
      </c>
      <c r="D5" s="23" t="s">
        <v>88</v>
      </c>
      <c r="E5" s="23" t="s">
        <v>81</v>
      </c>
    </row>
    <row r="6" customFormat="false" ht="15" hidden="false" customHeight="false" outlineLevel="0" collapsed="false">
      <c r="A6" s="26" t="s">
        <v>815</v>
      </c>
      <c r="B6" s="26" t="s">
        <v>816</v>
      </c>
      <c r="C6" s="26" t="s">
        <v>817</v>
      </c>
      <c r="D6" s="26" t="s">
        <v>88</v>
      </c>
      <c r="E6" s="26" t="s">
        <v>81</v>
      </c>
    </row>
    <row r="7" customFormat="false" ht="15" hidden="false" customHeight="false" outlineLevel="0" collapsed="false">
      <c r="A7" s="23" t="s">
        <v>818</v>
      </c>
      <c r="B7" s="23" t="s">
        <v>480</v>
      </c>
      <c r="C7" s="23" t="s">
        <v>819</v>
      </c>
      <c r="D7" s="23" t="s">
        <v>88</v>
      </c>
      <c r="E7" s="23" t="s">
        <v>81</v>
      </c>
    </row>
    <row r="8" customFormat="false" ht="15" hidden="false" customHeight="false" outlineLevel="0" collapsed="false">
      <c r="A8" s="26" t="s">
        <v>820</v>
      </c>
      <c r="B8" s="26" t="s">
        <v>501</v>
      </c>
      <c r="C8" s="26" t="s">
        <v>819</v>
      </c>
      <c r="D8" s="26" t="s">
        <v>88</v>
      </c>
      <c r="E8" s="26" t="s">
        <v>81</v>
      </c>
    </row>
    <row r="9" customFormat="false" ht="15" hidden="false" customHeight="false" outlineLevel="0" collapsed="false">
      <c r="A9" s="23" t="s">
        <v>821</v>
      </c>
      <c r="B9" s="23" t="s">
        <v>822</v>
      </c>
      <c r="C9" s="23" t="s">
        <v>817</v>
      </c>
      <c r="D9" s="23" t="s">
        <v>88</v>
      </c>
      <c r="E9" s="23" t="s">
        <v>81</v>
      </c>
    </row>
    <row r="10" customFormat="false" ht="15" hidden="false" customHeight="false" outlineLevel="0" collapsed="false">
      <c r="A10" s="26" t="s">
        <v>823</v>
      </c>
      <c r="B10" s="26" t="s">
        <v>824</v>
      </c>
      <c r="C10" s="26" t="s">
        <v>825</v>
      </c>
      <c r="D10" s="26" t="s">
        <v>96</v>
      </c>
      <c r="E10" s="26" t="s">
        <v>81</v>
      </c>
    </row>
    <row r="11" customFormat="false" ht="15" hidden="false" customHeight="false" outlineLevel="0" collapsed="false">
      <c r="A11" s="23" t="s">
        <v>826</v>
      </c>
      <c r="B11" s="23" t="s">
        <v>827</v>
      </c>
      <c r="C11" s="23" t="s">
        <v>828</v>
      </c>
      <c r="D11" s="23" t="s">
        <v>96</v>
      </c>
      <c r="E11" s="23" t="s">
        <v>81</v>
      </c>
    </row>
    <row r="12" customFormat="false" ht="15" hidden="false" customHeight="false" outlineLevel="0" collapsed="false">
      <c r="A12" s="26" t="s">
        <v>829</v>
      </c>
      <c r="B12" s="26" t="s">
        <v>830</v>
      </c>
      <c r="C12" s="26" t="s">
        <v>831</v>
      </c>
      <c r="D12" s="26" t="s">
        <v>159</v>
      </c>
      <c r="E12" s="26" t="s">
        <v>81</v>
      </c>
    </row>
    <row r="13" customFormat="false" ht="15" hidden="false" customHeight="false" outlineLevel="0" collapsed="false">
      <c r="A13" s="23" t="s">
        <v>832</v>
      </c>
      <c r="B13" s="23" t="s">
        <v>833</v>
      </c>
      <c r="C13" s="23" t="s">
        <v>834</v>
      </c>
      <c r="D13" s="23" t="s">
        <v>96</v>
      </c>
      <c r="E13" s="23" t="s">
        <v>81</v>
      </c>
    </row>
    <row r="14" customFormat="false" ht="15" hidden="false" customHeight="false" outlineLevel="0" collapsed="false">
      <c r="A14" s="26" t="s">
        <v>835</v>
      </c>
      <c r="B14" s="26" t="s">
        <v>836</v>
      </c>
      <c r="C14" s="26" t="s">
        <v>837</v>
      </c>
      <c r="D14" s="26" t="s">
        <v>159</v>
      </c>
      <c r="E14" s="26" t="s">
        <v>81</v>
      </c>
    </row>
    <row r="15" customFormat="false" ht="15" hidden="false" customHeight="false" outlineLevel="0" collapsed="false">
      <c r="A15" s="23" t="s">
        <v>838</v>
      </c>
      <c r="B15" s="23" t="s">
        <v>839</v>
      </c>
      <c r="C15" s="23" t="s">
        <v>840</v>
      </c>
      <c r="D15" s="23" t="s">
        <v>96</v>
      </c>
      <c r="E15" s="23" t="s">
        <v>81</v>
      </c>
    </row>
    <row r="16" customFormat="false" ht="15" hidden="false" customHeight="false" outlineLevel="0" collapsed="false">
      <c r="A16" s="26" t="s">
        <v>841</v>
      </c>
      <c r="B16" s="26" t="s">
        <v>842</v>
      </c>
      <c r="C16" s="26" t="s">
        <v>843</v>
      </c>
      <c r="D16" s="26" t="s">
        <v>96</v>
      </c>
      <c r="E16" s="26" t="s">
        <v>81</v>
      </c>
    </row>
    <row r="17" customFormat="false" ht="15" hidden="false" customHeight="false" outlineLevel="0" collapsed="false">
      <c r="A17" s="23" t="s">
        <v>844</v>
      </c>
      <c r="B17" s="23" t="s">
        <v>845</v>
      </c>
      <c r="C17" s="23" t="s">
        <v>846</v>
      </c>
      <c r="D17" s="23" t="s">
        <v>159</v>
      </c>
      <c r="E17" s="23" t="s">
        <v>81</v>
      </c>
    </row>
    <row r="18" customFormat="false" ht="22.35" hidden="false" customHeight="false" outlineLevel="0" collapsed="false">
      <c r="A18" s="26" t="s">
        <v>847</v>
      </c>
      <c r="B18" s="26" t="s">
        <v>848</v>
      </c>
      <c r="C18" s="26" t="s">
        <v>849</v>
      </c>
      <c r="D18" s="26" t="s">
        <v>88</v>
      </c>
      <c r="E18" s="26" t="s">
        <v>81</v>
      </c>
    </row>
  </sheetData>
  <autoFilter ref="A4:E18"/>
  <conditionalFormatting sqref="E5:E18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0">
      <formula>"Blocked"</formula>
    </cfRule>
  </conditionalFormatting>
  <dataValidations count="1">
    <dataValidation allowBlank="true" errorStyle="stop" operator="between" showDropDown="false" showErrorMessage="false" showInputMessage="false" sqref="E5:E18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0"/>
    <col collapsed="false" customWidth="true" hidden="false" outlineLevel="0" max="3" min="3" style="0" width="8"/>
  </cols>
  <sheetData>
    <row r="1" customFormat="false" ht="19.7" hidden="false" customHeight="false" outlineLevel="0" collapsed="false">
      <c r="A1" s="1" t="s">
        <v>850</v>
      </c>
    </row>
    <row r="2" customFormat="false" ht="15" hidden="false" customHeight="false" outlineLevel="0" collapsed="false">
      <c r="A2" s="2" t="s">
        <v>851</v>
      </c>
    </row>
    <row r="4" customFormat="false" ht="30" hidden="false" customHeight="true" outlineLevel="0" collapsed="false">
      <c r="A4" s="25" t="s">
        <v>286</v>
      </c>
      <c r="B4" s="25" t="s">
        <v>852</v>
      </c>
      <c r="C4" s="25" t="s">
        <v>853</v>
      </c>
    </row>
    <row r="5" customFormat="false" ht="30" hidden="false" customHeight="true" outlineLevel="0" collapsed="false">
      <c r="A5" s="23" t="s">
        <v>854</v>
      </c>
      <c r="B5" s="23" t="s">
        <v>855</v>
      </c>
      <c r="C5" s="23" t="n">
        <f aca="false">LEN(B5)</f>
        <v>164</v>
      </c>
    </row>
    <row r="6" customFormat="false" ht="30" hidden="false" customHeight="true" outlineLevel="0" collapsed="false">
      <c r="A6" s="26" t="s">
        <v>501</v>
      </c>
      <c r="B6" s="26" t="s">
        <v>856</v>
      </c>
      <c r="C6" s="26" t="n">
        <f aca="false">LEN(B6)</f>
        <v>148</v>
      </c>
    </row>
    <row r="7" customFormat="false" ht="30" hidden="false" customHeight="true" outlineLevel="0" collapsed="false">
      <c r="A7" s="23" t="s">
        <v>857</v>
      </c>
      <c r="B7" s="23" t="s">
        <v>858</v>
      </c>
      <c r="C7" s="23" t="n">
        <f aca="false">LEN(B7)</f>
        <v>129</v>
      </c>
    </row>
    <row r="8" customFormat="false" ht="30" hidden="false" customHeight="true" outlineLevel="0" collapsed="false">
      <c r="A8" s="26" t="s">
        <v>859</v>
      </c>
      <c r="B8" s="26" t="s">
        <v>860</v>
      </c>
      <c r="C8" s="26" t="n">
        <f aca="false">LEN(B8)</f>
        <v>123</v>
      </c>
    </row>
    <row r="9" customFormat="false" ht="30" hidden="false" customHeight="true" outlineLevel="0" collapsed="false">
      <c r="A9" s="23" t="s">
        <v>523</v>
      </c>
      <c r="B9" s="23" t="s">
        <v>861</v>
      </c>
      <c r="C9" s="23" t="n">
        <f aca="false">LEN(B9)</f>
        <v>144</v>
      </c>
    </row>
    <row r="10" customFormat="false" ht="30" hidden="false" customHeight="true" outlineLevel="0" collapsed="false">
      <c r="A10" s="26" t="s">
        <v>862</v>
      </c>
      <c r="B10" s="26" t="s">
        <v>863</v>
      </c>
      <c r="C10" s="26" t="n">
        <f aca="false">LEN(B10)</f>
        <v>120</v>
      </c>
    </row>
    <row r="11" customFormat="false" ht="30" hidden="false" customHeight="true" outlineLevel="0" collapsed="false">
      <c r="A11" s="23" t="s">
        <v>864</v>
      </c>
      <c r="B11" s="23" t="s">
        <v>865</v>
      </c>
      <c r="C11" s="23" t="n">
        <f aca="false">LEN(B11)</f>
        <v>117</v>
      </c>
    </row>
    <row r="12" customFormat="false" ht="30" hidden="false" customHeight="true" outlineLevel="0" collapsed="false">
      <c r="A12" s="26" t="s">
        <v>866</v>
      </c>
      <c r="B12" s="26" t="s">
        <v>867</v>
      </c>
      <c r="C12" s="26" t="n">
        <f aca="false">LEN(B12)</f>
        <v>132</v>
      </c>
    </row>
    <row r="13" customFormat="false" ht="30" hidden="false" customHeight="true" outlineLevel="0" collapsed="false">
      <c r="A13" s="23" t="s">
        <v>868</v>
      </c>
      <c r="B13" s="23" t="s">
        <v>869</v>
      </c>
      <c r="C13" s="23" t="n">
        <f aca="false">LEN(B13)</f>
        <v>137</v>
      </c>
    </row>
    <row r="14" customFormat="false" ht="30" hidden="false" customHeight="true" outlineLevel="0" collapsed="false">
      <c r="A14" s="26" t="s">
        <v>870</v>
      </c>
      <c r="B14" s="26" t="s">
        <v>871</v>
      </c>
      <c r="C14" s="26" t="n">
        <f aca="false">LEN(B14)</f>
        <v>131</v>
      </c>
    </row>
    <row r="15" customFormat="false" ht="30" hidden="false" customHeight="true" outlineLevel="0" collapsed="false">
      <c r="A15" s="23" t="s">
        <v>872</v>
      </c>
      <c r="B15" s="23" t="s">
        <v>873</v>
      </c>
      <c r="C15" s="23" t="n">
        <f aca="false">LEN(B15)</f>
        <v>129</v>
      </c>
    </row>
  </sheetData>
  <autoFilter ref="A4:C15"/>
  <conditionalFormatting sqref="C5:C15">
    <cfRule type="cellIs" priority="2" operator="greaterThan" aboveAverage="0" equalAverage="0" bottom="0" percent="0" rank="0" text="" dxfId="0">
      <formula>160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M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7"/>
    <col collapsed="false" customWidth="true" hidden="false" outlineLevel="0" max="10" min="7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874</v>
      </c>
    </row>
    <row r="2" customFormat="false" ht="15" hidden="false" customHeight="false" outlineLevel="0" collapsed="false">
      <c r="A2" s="2" t="s">
        <v>875</v>
      </c>
    </row>
    <row r="4" customFormat="false" ht="30" hidden="false" customHeight="true" outlineLevel="0" collapsed="false">
      <c r="A4" s="25" t="s">
        <v>286</v>
      </c>
      <c r="B4" s="25" t="s">
        <v>572</v>
      </c>
      <c r="C4" s="25" t="s">
        <v>876</v>
      </c>
      <c r="D4" s="25" t="s">
        <v>877</v>
      </c>
      <c r="E4" s="25" t="s">
        <v>878</v>
      </c>
      <c r="F4" s="25" t="s">
        <v>879</v>
      </c>
      <c r="G4" s="25" t="s">
        <v>880</v>
      </c>
      <c r="H4" s="25" t="s">
        <v>881</v>
      </c>
      <c r="I4" s="25" t="s">
        <v>882</v>
      </c>
      <c r="J4" s="25" t="s">
        <v>883</v>
      </c>
      <c r="K4" s="25" t="s">
        <v>884</v>
      </c>
      <c r="L4" s="25" t="s">
        <v>885</v>
      </c>
      <c r="M4" s="25" t="s">
        <v>886</v>
      </c>
    </row>
    <row r="5" customFormat="false" ht="32.8" hidden="false" customHeight="false" outlineLevel="0" collapsed="false">
      <c r="A5" s="23" t="s">
        <v>887</v>
      </c>
      <c r="B5" s="23" t="s">
        <v>888</v>
      </c>
      <c r="C5" s="23" t="s">
        <v>889</v>
      </c>
      <c r="D5" s="23" t="n">
        <v>48</v>
      </c>
      <c r="E5" s="23" t="s">
        <v>890</v>
      </c>
      <c r="F5" s="23" t="n">
        <v>3995</v>
      </c>
      <c r="G5" s="23" t="n">
        <v>152</v>
      </c>
      <c r="H5" s="23" t="n">
        <v>12</v>
      </c>
      <c r="I5" s="23" t="n">
        <v>1</v>
      </c>
      <c r="J5" s="23" t="n">
        <v>702</v>
      </c>
      <c r="K5" s="23" t="n">
        <v>4620</v>
      </c>
      <c r="L5" s="23" t="n">
        <v>6.5</v>
      </c>
      <c r="M5" s="23"/>
    </row>
    <row r="6" customFormat="false" ht="32.8" hidden="false" customHeight="false" outlineLevel="0" collapsed="false">
      <c r="A6" s="26" t="s">
        <v>342</v>
      </c>
      <c r="B6" s="26" t="s">
        <v>888</v>
      </c>
      <c r="C6" s="26" t="s">
        <v>891</v>
      </c>
      <c r="D6" s="26" t="n">
        <v>42</v>
      </c>
      <c r="E6" s="26" t="s">
        <v>892</v>
      </c>
      <c r="F6" s="26" t="n">
        <v>336</v>
      </c>
      <c r="G6" s="26" t="n">
        <v>152</v>
      </c>
      <c r="H6" s="26" t="n">
        <v>1</v>
      </c>
      <c r="I6" s="26" t="n">
        <v>82</v>
      </c>
      <c r="J6" s="26" t="n">
        <v>1</v>
      </c>
      <c r="K6" s="26" t="n">
        <v>125</v>
      </c>
      <c r="L6" s="26" t="n">
        <v>9.54</v>
      </c>
      <c r="M6" s="26"/>
    </row>
    <row r="7" customFormat="false" ht="32.8" hidden="false" customHeight="false" outlineLevel="0" collapsed="false">
      <c r="A7" s="23" t="s">
        <v>432</v>
      </c>
      <c r="B7" s="23" t="s">
        <v>893</v>
      </c>
      <c r="C7" s="23" t="s">
        <v>894</v>
      </c>
      <c r="D7" s="23" t="n">
        <v>34</v>
      </c>
      <c r="E7" s="23" t="s">
        <v>895</v>
      </c>
      <c r="F7" s="23" t="n">
        <v>561</v>
      </c>
      <c r="G7" s="23" t="n">
        <v>3</v>
      </c>
      <c r="H7" s="23"/>
      <c r="I7" s="23"/>
      <c r="J7" s="23" t="n">
        <v>0</v>
      </c>
      <c r="K7" s="23" t="n">
        <v>12</v>
      </c>
      <c r="L7" s="23" t="n">
        <v>7.25</v>
      </c>
      <c r="M7" s="23" t="s">
        <v>896</v>
      </c>
    </row>
    <row r="8" customFormat="false" ht="32.8" hidden="false" customHeight="false" outlineLevel="0" collapsed="false">
      <c r="A8" s="26" t="s">
        <v>440</v>
      </c>
      <c r="B8" s="26" t="s">
        <v>893</v>
      </c>
      <c r="C8" s="26" t="s">
        <v>897</v>
      </c>
      <c r="D8" s="26" t="n">
        <v>32</v>
      </c>
      <c r="E8" s="26" t="s">
        <v>895</v>
      </c>
      <c r="F8" s="26" t="n">
        <v>1595</v>
      </c>
      <c r="G8" s="26" t="n">
        <v>1</v>
      </c>
      <c r="H8" s="26"/>
      <c r="I8" s="26"/>
      <c r="J8" s="26" t="n">
        <v>0</v>
      </c>
      <c r="K8" s="26" t="n">
        <v>9</v>
      </c>
      <c r="L8" s="26" t="n">
        <v>15.67</v>
      </c>
      <c r="M8" s="26" t="s">
        <v>898</v>
      </c>
    </row>
    <row r="9" customFormat="false" ht="32.8" hidden="false" customHeight="false" outlineLevel="0" collapsed="false">
      <c r="A9" s="23" t="s">
        <v>420</v>
      </c>
      <c r="B9" s="23" t="s">
        <v>893</v>
      </c>
      <c r="C9" s="23" t="s">
        <v>899</v>
      </c>
      <c r="D9" s="23" t="n">
        <v>24</v>
      </c>
      <c r="E9" s="23" t="s">
        <v>895</v>
      </c>
      <c r="F9" s="23" t="n">
        <v>525</v>
      </c>
      <c r="G9" s="23" t="n">
        <v>2</v>
      </c>
      <c r="H9" s="23"/>
      <c r="I9" s="23"/>
      <c r="J9" s="23" t="n">
        <v>0</v>
      </c>
      <c r="K9" s="23" t="n">
        <v>24</v>
      </c>
      <c r="L9" s="23" t="n">
        <v>5.46</v>
      </c>
      <c r="M9" s="23" t="s">
        <v>896</v>
      </c>
    </row>
    <row r="10" customFormat="false" ht="32.8" hidden="false" customHeight="false" outlineLevel="0" collapsed="false">
      <c r="A10" s="26" t="s">
        <v>430</v>
      </c>
      <c r="B10" s="26" t="s">
        <v>893</v>
      </c>
      <c r="C10" s="26" t="s">
        <v>900</v>
      </c>
      <c r="D10" s="26" t="n">
        <v>23</v>
      </c>
      <c r="E10" s="26" t="s">
        <v>895</v>
      </c>
      <c r="F10" s="26" t="n">
        <v>483</v>
      </c>
      <c r="G10" s="26" t="n">
        <v>1</v>
      </c>
      <c r="H10" s="26"/>
      <c r="I10" s="26"/>
      <c r="J10" s="26" t="n">
        <v>0</v>
      </c>
      <c r="K10" s="26" t="n">
        <v>13</v>
      </c>
      <c r="L10" s="26" t="n">
        <v>6.08</v>
      </c>
      <c r="M10" s="26" t="s">
        <v>898</v>
      </c>
    </row>
    <row r="11" customFormat="false" ht="32.8" hidden="false" customHeight="false" outlineLevel="0" collapsed="false">
      <c r="A11" s="23" t="s">
        <v>901</v>
      </c>
      <c r="B11" s="23" t="s">
        <v>893</v>
      </c>
      <c r="C11" s="23" t="s">
        <v>902</v>
      </c>
      <c r="D11" s="23" t="n">
        <v>28</v>
      </c>
      <c r="E11" s="23" t="s">
        <v>895</v>
      </c>
      <c r="F11" s="23" t="n">
        <v>124</v>
      </c>
      <c r="G11" s="23" t="n">
        <v>1</v>
      </c>
      <c r="H11" s="23"/>
      <c r="I11" s="23"/>
      <c r="J11" s="23"/>
      <c r="K11" s="23"/>
      <c r="L11" s="23"/>
      <c r="M11" s="23" t="s">
        <v>898</v>
      </c>
    </row>
    <row r="12" customFormat="false" ht="32.8" hidden="false" customHeight="false" outlineLevel="0" collapsed="false">
      <c r="A12" s="26" t="s">
        <v>387</v>
      </c>
      <c r="B12" s="26" t="s">
        <v>893</v>
      </c>
      <c r="C12" s="26" t="s">
        <v>903</v>
      </c>
      <c r="D12" s="26" t="n">
        <v>28</v>
      </c>
      <c r="E12" s="26" t="s">
        <v>895</v>
      </c>
      <c r="F12" s="26" t="n">
        <v>640</v>
      </c>
      <c r="G12" s="26" t="n">
        <v>2</v>
      </c>
      <c r="H12" s="26" t="n">
        <v>2</v>
      </c>
      <c r="I12" s="26" t="n">
        <v>25</v>
      </c>
      <c r="J12" s="26" t="n">
        <v>0</v>
      </c>
      <c r="K12" s="26" t="n">
        <v>144</v>
      </c>
      <c r="L12" s="26" t="n">
        <v>18.83</v>
      </c>
      <c r="M12" s="26" t="s">
        <v>896</v>
      </c>
    </row>
    <row r="13" customFormat="false" ht="32.8" hidden="false" customHeight="false" outlineLevel="0" collapsed="false">
      <c r="A13" s="23" t="s">
        <v>450</v>
      </c>
      <c r="B13" s="23" t="s">
        <v>893</v>
      </c>
      <c r="C13" s="23" t="s">
        <v>904</v>
      </c>
      <c r="D13" s="23" t="n">
        <v>20</v>
      </c>
      <c r="E13" s="23" t="s">
        <v>895</v>
      </c>
      <c r="F13" s="23" t="n">
        <v>832</v>
      </c>
      <c r="G13" s="23" t="n">
        <v>1</v>
      </c>
      <c r="H13" s="23"/>
      <c r="I13" s="23"/>
      <c r="J13" s="23" t="n">
        <v>0</v>
      </c>
      <c r="K13" s="23" t="n">
        <v>5</v>
      </c>
      <c r="L13" s="23" t="n">
        <v>6</v>
      </c>
      <c r="M13" s="23" t="s">
        <v>898</v>
      </c>
    </row>
    <row r="14" customFormat="false" ht="32.8" hidden="false" customHeight="false" outlineLevel="0" collapsed="false">
      <c r="A14" s="26" t="s">
        <v>445</v>
      </c>
      <c r="B14" s="26" t="s">
        <v>893</v>
      </c>
      <c r="C14" s="26" t="s">
        <v>905</v>
      </c>
      <c r="D14" s="26" t="n">
        <v>26</v>
      </c>
      <c r="E14" s="26" t="s">
        <v>895</v>
      </c>
      <c r="F14" s="26" t="n">
        <v>156</v>
      </c>
      <c r="G14" s="26" t="n">
        <v>2</v>
      </c>
      <c r="H14" s="26"/>
      <c r="I14" s="26"/>
      <c r="J14" s="26" t="n">
        <v>0</v>
      </c>
      <c r="K14" s="26" t="n">
        <v>7</v>
      </c>
      <c r="L14" s="26" t="n">
        <v>2.43</v>
      </c>
      <c r="M14" s="26" t="s">
        <v>896</v>
      </c>
    </row>
    <row r="15" customFormat="false" ht="32.8" hidden="false" customHeight="false" outlineLevel="0" collapsed="false">
      <c r="A15" s="23" t="s">
        <v>451</v>
      </c>
      <c r="B15" s="23" t="s">
        <v>893</v>
      </c>
      <c r="C15" s="23" t="s">
        <v>906</v>
      </c>
      <c r="D15" s="23" t="n">
        <v>25</v>
      </c>
      <c r="E15" s="23" t="s">
        <v>895</v>
      </c>
      <c r="F15" s="23" t="n">
        <v>173</v>
      </c>
      <c r="G15" s="23" t="n">
        <v>2</v>
      </c>
      <c r="H15" s="23"/>
      <c r="I15" s="23"/>
      <c r="J15" s="23" t="n">
        <v>0</v>
      </c>
      <c r="K15" s="23" t="n">
        <v>5</v>
      </c>
      <c r="L15" s="23" t="n">
        <v>6.6</v>
      </c>
      <c r="M15" s="23" t="s">
        <v>896</v>
      </c>
    </row>
    <row r="16" customFormat="false" ht="32.8" hidden="false" customHeight="false" outlineLevel="0" collapsed="false">
      <c r="A16" s="26" t="s">
        <v>332</v>
      </c>
      <c r="B16" s="26" t="s">
        <v>888</v>
      </c>
      <c r="C16" s="26" t="s">
        <v>907</v>
      </c>
      <c r="D16" s="26" t="n">
        <v>46</v>
      </c>
      <c r="E16" s="26" t="s">
        <v>908</v>
      </c>
      <c r="F16" s="26" t="n">
        <v>476</v>
      </c>
      <c r="G16" s="26" t="n">
        <v>152</v>
      </c>
      <c r="H16" s="26"/>
      <c r="I16" s="26"/>
      <c r="J16" s="26" t="n">
        <v>2</v>
      </c>
      <c r="K16" s="26" t="n">
        <v>151</v>
      </c>
      <c r="L16" s="26" t="n">
        <v>11.08</v>
      </c>
      <c r="M16" s="26"/>
    </row>
    <row r="17" customFormat="false" ht="32.8" hidden="false" customHeight="false" outlineLevel="0" collapsed="false">
      <c r="A17" s="23" t="s">
        <v>349</v>
      </c>
      <c r="B17" s="23" t="s">
        <v>888</v>
      </c>
      <c r="C17" s="23" t="s">
        <v>909</v>
      </c>
      <c r="D17" s="23" t="n">
        <v>46</v>
      </c>
      <c r="E17" s="23" t="s">
        <v>910</v>
      </c>
      <c r="F17" s="23" t="n">
        <v>523</v>
      </c>
      <c r="G17" s="23" t="n">
        <v>9</v>
      </c>
      <c r="H17" s="23"/>
      <c r="I17" s="23"/>
      <c r="J17" s="23" t="n">
        <v>1</v>
      </c>
      <c r="K17" s="23" t="n">
        <v>55</v>
      </c>
      <c r="L17" s="23" t="n">
        <v>16.07</v>
      </c>
      <c r="M17" s="23"/>
    </row>
    <row r="18" customFormat="false" ht="32.8" hidden="false" customHeight="false" outlineLevel="0" collapsed="false">
      <c r="A18" s="26" t="s">
        <v>312</v>
      </c>
      <c r="B18" s="26" t="s">
        <v>888</v>
      </c>
      <c r="C18" s="26" t="s">
        <v>911</v>
      </c>
      <c r="D18" s="26" t="n">
        <v>35</v>
      </c>
      <c r="E18" s="26" t="s">
        <v>912</v>
      </c>
      <c r="F18" s="26" t="n">
        <v>230</v>
      </c>
      <c r="G18" s="26" t="n">
        <v>152</v>
      </c>
      <c r="H18" s="26" t="n">
        <v>1</v>
      </c>
      <c r="I18" s="26" t="n">
        <v>13</v>
      </c>
      <c r="J18" s="26" t="n">
        <v>4</v>
      </c>
      <c r="K18" s="26" t="n">
        <v>884</v>
      </c>
      <c r="L18" s="26" t="n">
        <v>4.9</v>
      </c>
      <c r="M18" s="26"/>
    </row>
    <row r="19" customFormat="false" ht="32.8" hidden="false" customHeight="false" outlineLevel="0" collapsed="false">
      <c r="A19" s="23" t="s">
        <v>913</v>
      </c>
      <c r="B19" s="23" t="s">
        <v>888</v>
      </c>
      <c r="C19" s="23" t="s">
        <v>914</v>
      </c>
      <c r="D19" s="23" t="n">
        <v>44</v>
      </c>
      <c r="E19" s="23" t="s">
        <v>915</v>
      </c>
      <c r="F19" s="23" t="n">
        <v>1008</v>
      </c>
      <c r="G19" s="23" t="n">
        <v>1</v>
      </c>
      <c r="H19" s="23"/>
      <c r="I19" s="23"/>
      <c r="J19" s="23"/>
      <c r="K19" s="23"/>
      <c r="L19" s="23"/>
      <c r="M19" s="23" t="s">
        <v>916</v>
      </c>
    </row>
    <row r="20" customFormat="false" ht="32.8" hidden="false" customHeight="false" outlineLevel="0" collapsed="false">
      <c r="A20" s="26" t="s">
        <v>377</v>
      </c>
      <c r="B20" s="26" t="s">
        <v>888</v>
      </c>
      <c r="C20" s="26" t="s">
        <v>917</v>
      </c>
      <c r="D20" s="26" t="n">
        <v>51</v>
      </c>
      <c r="E20" s="26" t="s">
        <v>918</v>
      </c>
      <c r="F20" s="26" t="n">
        <v>1978</v>
      </c>
      <c r="G20" s="26" t="n">
        <v>152</v>
      </c>
      <c r="H20" s="26" t="n">
        <v>1</v>
      </c>
      <c r="I20" s="26" t="n">
        <v>80</v>
      </c>
      <c r="J20" s="26" t="n">
        <v>0</v>
      </c>
      <c r="K20" s="26" t="n">
        <v>258</v>
      </c>
      <c r="L20" s="26" t="n">
        <v>6.36</v>
      </c>
      <c r="M20" s="26"/>
    </row>
    <row r="21" customFormat="false" ht="22.35" hidden="false" customHeight="false" outlineLevel="0" collapsed="false">
      <c r="A21" s="23" t="s">
        <v>348</v>
      </c>
      <c r="B21" s="23" t="s">
        <v>888</v>
      </c>
      <c r="C21" s="23" t="s">
        <v>919</v>
      </c>
      <c r="D21" s="23" t="n">
        <v>25</v>
      </c>
      <c r="E21" s="23" t="s">
        <v>920</v>
      </c>
      <c r="F21" s="23" t="n">
        <v>879</v>
      </c>
      <c r="G21" s="23" t="n">
        <v>152</v>
      </c>
      <c r="H21" s="23" t="n">
        <v>1</v>
      </c>
      <c r="I21" s="23" t="n">
        <v>95</v>
      </c>
      <c r="J21" s="23" t="n">
        <v>1</v>
      </c>
      <c r="K21" s="23" t="n">
        <v>64</v>
      </c>
      <c r="L21" s="23" t="n">
        <v>9.86</v>
      </c>
      <c r="M21" s="23"/>
    </row>
    <row r="22" customFormat="false" ht="32.8" hidden="false" customHeight="false" outlineLevel="0" collapsed="false">
      <c r="A22" s="26" t="s">
        <v>390</v>
      </c>
      <c r="B22" s="26" t="s">
        <v>888</v>
      </c>
      <c r="C22" s="26" t="s">
        <v>921</v>
      </c>
      <c r="D22" s="26" t="n">
        <v>27</v>
      </c>
      <c r="E22" s="26" t="s">
        <v>922</v>
      </c>
      <c r="F22" s="26" t="n">
        <v>603</v>
      </c>
      <c r="G22" s="26" t="n">
        <v>152</v>
      </c>
      <c r="H22" s="26" t="n">
        <v>1</v>
      </c>
      <c r="I22" s="26" t="n">
        <v>47</v>
      </c>
      <c r="J22" s="26" t="n">
        <v>0</v>
      </c>
      <c r="K22" s="26" t="n">
        <v>124</v>
      </c>
      <c r="L22" s="26" t="n">
        <v>14.52</v>
      </c>
      <c r="M22" s="26"/>
    </row>
    <row r="23" customFormat="false" ht="32.8" hidden="false" customHeight="false" outlineLevel="0" collapsed="false">
      <c r="A23" s="23" t="s">
        <v>329</v>
      </c>
      <c r="B23" s="23" t="s">
        <v>888</v>
      </c>
      <c r="C23" s="23" t="s">
        <v>923</v>
      </c>
      <c r="D23" s="23" t="n">
        <v>56</v>
      </c>
      <c r="E23" s="23" t="s">
        <v>924</v>
      </c>
      <c r="F23" s="23" t="n">
        <v>1564</v>
      </c>
      <c r="G23" s="23" t="n">
        <v>152</v>
      </c>
      <c r="H23" s="23" t="n">
        <v>1</v>
      </c>
      <c r="I23" s="23" t="n">
        <v>76</v>
      </c>
      <c r="J23" s="23" t="n">
        <v>2</v>
      </c>
      <c r="K23" s="23" t="n">
        <v>886</v>
      </c>
      <c r="L23" s="23" t="n">
        <v>3.29</v>
      </c>
      <c r="M23" s="23"/>
    </row>
    <row r="24" customFormat="false" ht="32.8" hidden="false" customHeight="false" outlineLevel="0" collapsed="false">
      <c r="A24" s="26" t="s">
        <v>365</v>
      </c>
      <c r="B24" s="26" t="s">
        <v>893</v>
      </c>
      <c r="C24" s="26" t="s">
        <v>925</v>
      </c>
      <c r="D24" s="26" t="n">
        <v>15</v>
      </c>
      <c r="E24" s="26" t="s">
        <v>895</v>
      </c>
      <c r="F24" s="26" t="n">
        <v>4352</v>
      </c>
      <c r="G24" s="26" t="n">
        <v>1</v>
      </c>
      <c r="H24" s="26"/>
      <c r="I24" s="26"/>
      <c r="J24" s="26" t="n">
        <v>1</v>
      </c>
      <c r="K24" s="26" t="n">
        <v>10</v>
      </c>
      <c r="L24" s="26" t="n">
        <v>8.8</v>
      </c>
      <c r="M24" s="26" t="s">
        <v>898</v>
      </c>
    </row>
    <row r="25" customFormat="false" ht="32.8" hidden="false" customHeight="false" outlineLevel="0" collapsed="false">
      <c r="A25" s="23" t="s">
        <v>385</v>
      </c>
      <c r="B25" s="23" t="s">
        <v>893</v>
      </c>
      <c r="C25" s="23" t="s">
        <v>926</v>
      </c>
      <c r="D25" s="23" t="n">
        <v>19</v>
      </c>
      <c r="E25" s="23" t="s">
        <v>895</v>
      </c>
      <c r="F25" s="23" t="n">
        <v>311</v>
      </c>
      <c r="G25" s="23" t="n">
        <v>2</v>
      </c>
      <c r="H25" s="23"/>
      <c r="I25" s="23"/>
      <c r="J25" s="23" t="n">
        <v>0</v>
      </c>
      <c r="K25" s="23" t="n">
        <v>147</v>
      </c>
      <c r="L25" s="23" t="n">
        <v>4.07</v>
      </c>
      <c r="M25" s="23" t="s">
        <v>896</v>
      </c>
    </row>
    <row r="26" customFormat="false" ht="32.8" hidden="false" customHeight="false" outlineLevel="0" collapsed="false">
      <c r="A26" s="26" t="s">
        <v>426</v>
      </c>
      <c r="B26" s="26" t="s">
        <v>893</v>
      </c>
      <c r="C26" s="26" t="s">
        <v>927</v>
      </c>
      <c r="D26" s="26" t="n">
        <v>16</v>
      </c>
      <c r="E26" s="26" t="s">
        <v>895</v>
      </c>
      <c r="F26" s="26" t="n">
        <v>458</v>
      </c>
      <c r="G26" s="26" t="n">
        <v>2</v>
      </c>
      <c r="H26" s="26"/>
      <c r="I26" s="26"/>
      <c r="J26" s="26" t="n">
        <v>0</v>
      </c>
      <c r="K26" s="26" t="n">
        <v>19</v>
      </c>
      <c r="L26" s="26" t="n">
        <v>5.84</v>
      </c>
      <c r="M26" s="26" t="s">
        <v>896</v>
      </c>
    </row>
    <row r="27" customFormat="false" ht="32.8" hidden="false" customHeight="false" outlineLevel="0" collapsed="false">
      <c r="A27" s="23" t="s">
        <v>308</v>
      </c>
      <c r="B27" s="23" t="s">
        <v>893</v>
      </c>
      <c r="C27" s="23" t="s">
        <v>928</v>
      </c>
      <c r="D27" s="23" t="n">
        <v>32</v>
      </c>
      <c r="E27" s="23" t="s">
        <v>895</v>
      </c>
      <c r="F27" s="23" t="n">
        <v>676</v>
      </c>
      <c r="G27" s="23" t="n">
        <v>2</v>
      </c>
      <c r="H27" s="23"/>
      <c r="I27" s="23"/>
      <c r="J27" s="23" t="n">
        <v>6</v>
      </c>
      <c r="K27" s="23" t="n">
        <v>50</v>
      </c>
      <c r="L27" s="23" t="n">
        <v>5.7</v>
      </c>
      <c r="M27" s="23" t="s">
        <v>896</v>
      </c>
    </row>
    <row r="28" customFormat="false" ht="32.8" hidden="false" customHeight="false" outlineLevel="0" collapsed="false">
      <c r="A28" s="26" t="s">
        <v>327</v>
      </c>
      <c r="B28" s="26" t="s">
        <v>888</v>
      </c>
      <c r="C28" s="26" t="s">
        <v>929</v>
      </c>
      <c r="D28" s="26" t="n">
        <v>54</v>
      </c>
      <c r="E28" s="26" t="s">
        <v>930</v>
      </c>
      <c r="F28" s="26" t="n">
        <v>1216</v>
      </c>
      <c r="G28" s="26" t="n">
        <v>152</v>
      </c>
      <c r="H28" s="26" t="n">
        <v>2</v>
      </c>
      <c r="I28" s="26" t="n">
        <v>14</v>
      </c>
      <c r="J28" s="26" t="n">
        <v>2</v>
      </c>
      <c r="K28" s="26" t="n">
        <v>1783</v>
      </c>
      <c r="L28" s="26" t="n">
        <v>6.72</v>
      </c>
      <c r="M28" s="26"/>
    </row>
    <row r="29" customFormat="false" ht="32.8" hidden="false" customHeight="false" outlineLevel="0" collapsed="false">
      <c r="A29" s="23" t="s">
        <v>444</v>
      </c>
      <c r="B29" s="23" t="s">
        <v>931</v>
      </c>
      <c r="C29" s="23" t="s">
        <v>932</v>
      </c>
      <c r="D29" s="23" t="n">
        <v>69</v>
      </c>
      <c r="E29" s="23" t="s">
        <v>933</v>
      </c>
      <c r="F29" s="23" t="n">
        <v>740</v>
      </c>
      <c r="G29" s="23" t="n">
        <v>3</v>
      </c>
      <c r="H29" s="23"/>
      <c r="I29" s="23"/>
      <c r="J29" s="23" t="n">
        <v>0</v>
      </c>
      <c r="K29" s="23" t="n">
        <v>8</v>
      </c>
      <c r="L29" s="23" t="n">
        <v>19.62</v>
      </c>
      <c r="M29" s="23"/>
    </row>
    <row r="30" customFormat="false" ht="32.8" hidden="false" customHeight="false" outlineLevel="0" collapsed="false">
      <c r="A30" s="26" t="s">
        <v>412</v>
      </c>
      <c r="B30" s="26" t="s">
        <v>931</v>
      </c>
      <c r="C30" s="26" t="s">
        <v>934</v>
      </c>
      <c r="D30" s="26" t="n">
        <v>100</v>
      </c>
      <c r="E30" s="26" t="s">
        <v>895</v>
      </c>
      <c r="F30" s="26" t="n">
        <v>1649</v>
      </c>
      <c r="G30" s="26" t="n">
        <v>115</v>
      </c>
      <c r="H30" s="26"/>
      <c r="I30" s="26"/>
      <c r="J30" s="26" t="n">
        <v>0</v>
      </c>
      <c r="K30" s="26" t="n">
        <v>34</v>
      </c>
      <c r="L30" s="26" t="n">
        <v>4.29</v>
      </c>
      <c r="M30" s="26" t="s">
        <v>896</v>
      </c>
    </row>
    <row r="31" customFormat="false" ht="32.8" hidden="false" customHeight="false" outlineLevel="0" collapsed="false">
      <c r="A31" s="23" t="s">
        <v>446</v>
      </c>
      <c r="B31" s="23" t="s">
        <v>931</v>
      </c>
      <c r="C31" s="23" t="s">
        <v>935</v>
      </c>
      <c r="D31" s="23" t="n">
        <v>99</v>
      </c>
      <c r="E31" s="23" t="s">
        <v>895</v>
      </c>
      <c r="F31" s="23" t="n">
        <v>383</v>
      </c>
      <c r="G31" s="23" t="n">
        <v>2</v>
      </c>
      <c r="H31" s="23"/>
      <c r="I31" s="23"/>
      <c r="J31" s="23" t="n">
        <v>0</v>
      </c>
      <c r="K31" s="23" t="n">
        <v>6</v>
      </c>
      <c r="L31" s="23" t="n">
        <v>4.5</v>
      </c>
      <c r="M31" s="23" t="s">
        <v>936</v>
      </c>
    </row>
    <row r="32" customFormat="false" ht="32.8" hidden="false" customHeight="false" outlineLevel="0" collapsed="false">
      <c r="A32" s="26" t="s">
        <v>425</v>
      </c>
      <c r="B32" s="26" t="s">
        <v>931</v>
      </c>
      <c r="C32" s="26" t="s">
        <v>937</v>
      </c>
      <c r="D32" s="26" t="n">
        <v>83</v>
      </c>
      <c r="E32" s="26" t="s">
        <v>895</v>
      </c>
      <c r="F32" s="26" t="n">
        <v>667</v>
      </c>
      <c r="G32" s="26" t="n">
        <v>1</v>
      </c>
      <c r="H32" s="26"/>
      <c r="I32" s="26"/>
      <c r="J32" s="26" t="n">
        <v>0</v>
      </c>
      <c r="K32" s="26" t="n">
        <v>20</v>
      </c>
      <c r="L32" s="26" t="n">
        <v>8.55</v>
      </c>
      <c r="M32" s="26" t="s">
        <v>898</v>
      </c>
    </row>
    <row r="33" customFormat="false" ht="32.8" hidden="false" customHeight="false" outlineLevel="0" collapsed="false">
      <c r="A33" s="23" t="s">
        <v>409</v>
      </c>
      <c r="B33" s="23" t="s">
        <v>931</v>
      </c>
      <c r="C33" s="23" t="s">
        <v>938</v>
      </c>
      <c r="D33" s="23" t="n">
        <v>78</v>
      </c>
      <c r="E33" s="23" t="s">
        <v>895</v>
      </c>
      <c r="F33" s="23" t="n">
        <v>3607</v>
      </c>
      <c r="G33" s="23" t="n">
        <v>4</v>
      </c>
      <c r="H33" s="23"/>
      <c r="I33" s="23"/>
      <c r="J33" s="23" t="n">
        <v>0</v>
      </c>
      <c r="K33" s="23" t="n">
        <v>52</v>
      </c>
      <c r="L33" s="23" t="n">
        <v>11.9</v>
      </c>
      <c r="M33" s="23" t="s">
        <v>896</v>
      </c>
    </row>
    <row r="34" customFormat="false" ht="32.8" hidden="false" customHeight="false" outlineLevel="0" collapsed="false">
      <c r="A34" s="26" t="s">
        <v>351</v>
      </c>
      <c r="B34" s="26" t="s">
        <v>931</v>
      </c>
      <c r="C34" s="26" t="s">
        <v>939</v>
      </c>
      <c r="D34" s="26" t="n">
        <v>89</v>
      </c>
      <c r="E34" s="26" t="s">
        <v>895</v>
      </c>
      <c r="F34" s="26" t="n">
        <v>3400</v>
      </c>
      <c r="G34" s="26" t="n">
        <v>10</v>
      </c>
      <c r="H34" s="26"/>
      <c r="I34" s="26"/>
      <c r="J34" s="26" t="n">
        <v>1</v>
      </c>
      <c r="K34" s="26" t="n">
        <v>46</v>
      </c>
      <c r="L34" s="26" t="n">
        <v>6.85</v>
      </c>
      <c r="M34" s="26" t="s">
        <v>896</v>
      </c>
    </row>
    <row r="35" customFormat="false" ht="32.8" hidden="false" customHeight="false" outlineLevel="0" collapsed="false">
      <c r="A35" s="23" t="s">
        <v>369</v>
      </c>
      <c r="B35" s="23" t="s">
        <v>931</v>
      </c>
      <c r="C35" s="23" t="s">
        <v>940</v>
      </c>
      <c r="D35" s="23" t="n">
        <v>80</v>
      </c>
      <c r="E35" s="23" t="s">
        <v>895</v>
      </c>
      <c r="F35" s="23" t="n">
        <v>3727</v>
      </c>
      <c r="G35" s="23" t="n">
        <v>7</v>
      </c>
      <c r="H35" s="23" t="n">
        <v>2</v>
      </c>
      <c r="I35" s="23" t="n">
        <v>32</v>
      </c>
      <c r="J35" s="23" t="n">
        <v>0</v>
      </c>
      <c r="K35" s="23" t="n">
        <v>885</v>
      </c>
      <c r="L35" s="23" t="n">
        <v>19.9</v>
      </c>
      <c r="M35" s="23" t="s">
        <v>896</v>
      </c>
    </row>
    <row r="36" customFormat="false" ht="32.8" hidden="false" customHeight="false" outlineLevel="0" collapsed="false">
      <c r="A36" s="26" t="s">
        <v>411</v>
      </c>
      <c r="B36" s="26" t="s">
        <v>931</v>
      </c>
      <c r="C36" s="26" t="s">
        <v>941</v>
      </c>
      <c r="D36" s="26" t="n">
        <v>85</v>
      </c>
      <c r="E36" s="26" t="s">
        <v>895</v>
      </c>
      <c r="F36" s="26" t="n">
        <v>3055</v>
      </c>
      <c r="G36" s="26" t="n">
        <v>6</v>
      </c>
      <c r="H36" s="26"/>
      <c r="I36" s="26"/>
      <c r="J36" s="26" t="n">
        <v>0</v>
      </c>
      <c r="K36" s="26" t="n">
        <v>35</v>
      </c>
      <c r="L36" s="26" t="n">
        <v>19.2</v>
      </c>
      <c r="M36" s="26" t="s">
        <v>896</v>
      </c>
    </row>
    <row r="37" customFormat="false" ht="32.8" hidden="false" customHeight="false" outlineLevel="0" collapsed="false">
      <c r="A37" s="23" t="s">
        <v>370</v>
      </c>
      <c r="B37" s="23" t="s">
        <v>931</v>
      </c>
      <c r="C37" s="23" t="s">
        <v>942</v>
      </c>
      <c r="D37" s="23" t="n">
        <v>53</v>
      </c>
      <c r="E37" s="23" t="s">
        <v>895</v>
      </c>
      <c r="F37" s="23" t="n">
        <v>2903</v>
      </c>
      <c r="G37" s="23" t="n">
        <v>3</v>
      </c>
      <c r="H37" s="23" t="n">
        <v>3</v>
      </c>
      <c r="I37" s="23" t="n">
        <v>31</v>
      </c>
      <c r="J37" s="23" t="n">
        <v>0</v>
      </c>
      <c r="K37" s="23" t="n">
        <v>664</v>
      </c>
      <c r="L37" s="23" t="n">
        <v>25.09</v>
      </c>
      <c r="M37" s="23" t="s">
        <v>896</v>
      </c>
    </row>
    <row r="38" customFormat="false" ht="32.8" hidden="false" customHeight="false" outlineLevel="0" collapsed="false">
      <c r="A38" s="26" t="s">
        <v>413</v>
      </c>
      <c r="B38" s="26" t="s">
        <v>931</v>
      </c>
      <c r="C38" s="26" t="s">
        <v>943</v>
      </c>
      <c r="D38" s="26" t="n">
        <v>89</v>
      </c>
      <c r="E38" s="26" t="s">
        <v>895</v>
      </c>
      <c r="F38" s="26" t="n">
        <v>2726</v>
      </c>
      <c r="G38" s="26" t="n">
        <v>8</v>
      </c>
      <c r="H38" s="26"/>
      <c r="I38" s="26"/>
      <c r="J38" s="26" t="n">
        <v>0</v>
      </c>
      <c r="K38" s="26" t="n">
        <v>34</v>
      </c>
      <c r="L38" s="26" t="n">
        <v>11.65</v>
      </c>
      <c r="M38" s="26" t="s">
        <v>896</v>
      </c>
    </row>
    <row r="39" customFormat="false" ht="32.8" hidden="false" customHeight="false" outlineLevel="0" collapsed="false">
      <c r="A39" s="23" t="s">
        <v>317</v>
      </c>
      <c r="B39" s="23" t="s">
        <v>931</v>
      </c>
      <c r="C39" s="23" t="s">
        <v>944</v>
      </c>
      <c r="D39" s="23" t="n">
        <v>75</v>
      </c>
      <c r="E39" s="23" t="s">
        <v>895</v>
      </c>
      <c r="F39" s="23" t="n">
        <v>5433</v>
      </c>
      <c r="G39" s="23" t="n">
        <v>5</v>
      </c>
      <c r="H39" s="23" t="n">
        <v>16</v>
      </c>
      <c r="I39" s="23" t="n">
        <v>17</v>
      </c>
      <c r="J39" s="23" t="n">
        <v>3</v>
      </c>
      <c r="K39" s="23" t="n">
        <v>6393</v>
      </c>
      <c r="L39" s="23" t="n">
        <v>30.16</v>
      </c>
      <c r="M39" s="23" t="s">
        <v>896</v>
      </c>
    </row>
    <row r="40" customFormat="false" ht="32.8" hidden="false" customHeight="false" outlineLevel="0" collapsed="false">
      <c r="A40" s="26" t="s">
        <v>305</v>
      </c>
      <c r="B40" s="26" t="s">
        <v>931</v>
      </c>
      <c r="C40" s="26" t="s">
        <v>945</v>
      </c>
      <c r="D40" s="26" t="n">
        <v>69</v>
      </c>
      <c r="E40" s="26" t="s">
        <v>895</v>
      </c>
      <c r="F40" s="26" t="n">
        <v>4405</v>
      </c>
      <c r="G40" s="26" t="n">
        <v>7</v>
      </c>
      <c r="H40" s="26"/>
      <c r="I40" s="26"/>
      <c r="J40" s="26" t="n">
        <v>6</v>
      </c>
      <c r="K40" s="26" t="n">
        <v>581</v>
      </c>
      <c r="L40" s="26" t="n">
        <v>11.09</v>
      </c>
      <c r="M40" s="26" t="s">
        <v>896</v>
      </c>
    </row>
    <row r="41" customFormat="false" ht="32.8" hidden="false" customHeight="false" outlineLevel="0" collapsed="false">
      <c r="A41" s="23" t="s">
        <v>396</v>
      </c>
      <c r="B41" s="23" t="s">
        <v>931</v>
      </c>
      <c r="C41" s="23" t="s">
        <v>946</v>
      </c>
      <c r="D41" s="23" t="n">
        <v>68</v>
      </c>
      <c r="E41" s="23" t="s">
        <v>895</v>
      </c>
      <c r="F41" s="23" t="n">
        <v>4248</v>
      </c>
      <c r="G41" s="23" t="n">
        <v>3</v>
      </c>
      <c r="H41" s="23" t="n">
        <v>1</v>
      </c>
      <c r="I41" s="23" t="n">
        <v>13</v>
      </c>
      <c r="J41" s="23" t="n">
        <v>0</v>
      </c>
      <c r="K41" s="23" t="n">
        <v>81</v>
      </c>
      <c r="L41" s="23" t="n">
        <v>11.07</v>
      </c>
      <c r="M41" s="23" t="s">
        <v>896</v>
      </c>
    </row>
    <row r="42" customFormat="false" ht="32.8" hidden="false" customHeight="false" outlineLevel="0" collapsed="false">
      <c r="A42" s="26" t="s">
        <v>328</v>
      </c>
      <c r="B42" s="26" t="s">
        <v>931</v>
      </c>
      <c r="C42" s="26" t="s">
        <v>947</v>
      </c>
      <c r="D42" s="26" t="n">
        <v>72</v>
      </c>
      <c r="E42" s="26" t="s">
        <v>895</v>
      </c>
      <c r="F42" s="26" t="n">
        <v>2620</v>
      </c>
      <c r="G42" s="26" t="n">
        <v>16</v>
      </c>
      <c r="H42" s="26" t="n">
        <v>4</v>
      </c>
      <c r="I42" s="26" t="n">
        <v>1</v>
      </c>
      <c r="J42" s="26" t="n">
        <v>2</v>
      </c>
      <c r="K42" s="26" t="n">
        <v>1420</v>
      </c>
      <c r="L42" s="26" t="n">
        <v>38.31</v>
      </c>
      <c r="M42" s="26" t="s">
        <v>896</v>
      </c>
    </row>
    <row r="43" customFormat="false" ht="32.8" hidden="false" customHeight="false" outlineLevel="0" collapsed="false">
      <c r="A43" s="23" t="s">
        <v>393</v>
      </c>
      <c r="B43" s="23" t="s">
        <v>931</v>
      </c>
      <c r="C43" s="23" t="s">
        <v>948</v>
      </c>
      <c r="D43" s="23" t="n">
        <v>95</v>
      </c>
      <c r="E43" s="23" t="s">
        <v>895</v>
      </c>
      <c r="F43" s="23" t="n">
        <v>3483</v>
      </c>
      <c r="G43" s="23" t="n">
        <v>115</v>
      </c>
      <c r="H43" s="23"/>
      <c r="I43" s="23"/>
      <c r="J43" s="23" t="n">
        <v>0</v>
      </c>
      <c r="K43" s="23" t="n">
        <v>89</v>
      </c>
      <c r="L43" s="23" t="n">
        <v>10.01</v>
      </c>
      <c r="M43" s="23" t="s">
        <v>896</v>
      </c>
    </row>
    <row r="44" customFormat="false" ht="32.8" hidden="false" customHeight="false" outlineLevel="0" collapsed="false">
      <c r="A44" s="26" t="s">
        <v>350</v>
      </c>
      <c r="B44" s="26" t="s">
        <v>931</v>
      </c>
      <c r="C44" s="26" t="s">
        <v>949</v>
      </c>
      <c r="D44" s="26" t="n">
        <v>93</v>
      </c>
      <c r="E44" s="26" t="s">
        <v>895</v>
      </c>
      <c r="F44" s="26" t="n">
        <v>3511</v>
      </c>
      <c r="G44" s="26" t="n">
        <v>4</v>
      </c>
      <c r="H44" s="26"/>
      <c r="I44" s="26"/>
      <c r="J44" s="26" t="n">
        <v>1</v>
      </c>
      <c r="K44" s="26" t="n">
        <v>52</v>
      </c>
      <c r="L44" s="26" t="n">
        <v>7.65</v>
      </c>
      <c r="M44" s="26" t="s">
        <v>896</v>
      </c>
    </row>
    <row r="45" customFormat="false" ht="32.8" hidden="false" customHeight="false" outlineLevel="0" collapsed="false">
      <c r="A45" s="23" t="s">
        <v>346</v>
      </c>
      <c r="B45" s="23" t="s">
        <v>931</v>
      </c>
      <c r="C45" s="23" t="s">
        <v>950</v>
      </c>
      <c r="D45" s="23" t="n">
        <v>93</v>
      </c>
      <c r="E45" s="23" t="s">
        <v>895</v>
      </c>
      <c r="F45" s="23" t="n">
        <v>4415</v>
      </c>
      <c r="G45" s="23" t="n">
        <v>8</v>
      </c>
      <c r="H45" s="23"/>
      <c r="I45" s="23"/>
      <c r="J45" s="23" t="n">
        <v>1</v>
      </c>
      <c r="K45" s="23" t="n">
        <v>70</v>
      </c>
      <c r="L45" s="23" t="n">
        <v>9.06</v>
      </c>
      <c r="M45" s="23" t="s">
        <v>896</v>
      </c>
    </row>
    <row r="46" customFormat="false" ht="32.8" hidden="false" customHeight="false" outlineLevel="0" collapsed="false">
      <c r="A46" s="26" t="s">
        <v>339</v>
      </c>
      <c r="B46" s="26" t="s">
        <v>931</v>
      </c>
      <c r="C46" s="26" t="s">
        <v>951</v>
      </c>
      <c r="D46" s="26" t="n">
        <v>88</v>
      </c>
      <c r="E46" s="26" t="s">
        <v>895</v>
      </c>
      <c r="F46" s="26" t="n">
        <v>5036</v>
      </c>
      <c r="G46" s="26" t="n">
        <v>3</v>
      </c>
      <c r="H46" s="26" t="n">
        <v>4</v>
      </c>
      <c r="I46" s="26" t="n">
        <v>31</v>
      </c>
      <c r="J46" s="26" t="n">
        <v>1</v>
      </c>
      <c r="K46" s="26" t="n">
        <v>289</v>
      </c>
      <c r="L46" s="26" t="n">
        <v>9.43</v>
      </c>
      <c r="M46" s="26" t="s">
        <v>896</v>
      </c>
    </row>
    <row r="47" customFormat="false" ht="32.8" hidden="false" customHeight="false" outlineLevel="0" collapsed="false">
      <c r="A47" s="23" t="s">
        <v>402</v>
      </c>
      <c r="B47" s="23" t="s">
        <v>931</v>
      </c>
      <c r="C47" s="23" t="s">
        <v>952</v>
      </c>
      <c r="D47" s="23" t="n">
        <v>79</v>
      </c>
      <c r="E47" s="23" t="s">
        <v>895</v>
      </c>
      <c r="F47" s="23" t="n">
        <v>3619</v>
      </c>
      <c r="G47" s="23" t="n">
        <v>3</v>
      </c>
      <c r="H47" s="23"/>
      <c r="I47" s="23"/>
      <c r="J47" s="23" t="n">
        <v>0</v>
      </c>
      <c r="K47" s="23" t="n">
        <v>61</v>
      </c>
      <c r="L47" s="23" t="n">
        <v>6.46</v>
      </c>
      <c r="M47" s="23" t="s">
        <v>896</v>
      </c>
    </row>
    <row r="48" customFormat="false" ht="32.8" hidden="false" customHeight="false" outlineLevel="0" collapsed="false">
      <c r="A48" s="26" t="s">
        <v>379</v>
      </c>
      <c r="B48" s="26" t="s">
        <v>931</v>
      </c>
      <c r="C48" s="26" t="s">
        <v>953</v>
      </c>
      <c r="D48" s="26" t="n">
        <v>92</v>
      </c>
      <c r="E48" s="26" t="s">
        <v>895</v>
      </c>
      <c r="F48" s="26" t="n">
        <v>5703</v>
      </c>
      <c r="G48" s="26" t="n">
        <v>5</v>
      </c>
      <c r="H48" s="26" t="n">
        <v>1</v>
      </c>
      <c r="I48" s="26" t="n">
        <v>45</v>
      </c>
      <c r="J48" s="26" t="n">
        <v>0</v>
      </c>
      <c r="K48" s="26" t="n">
        <v>243</v>
      </c>
      <c r="L48" s="26" t="n">
        <v>12.43</v>
      </c>
      <c r="M48" s="26" t="s">
        <v>896</v>
      </c>
    </row>
    <row r="49" customFormat="false" ht="32.8" hidden="false" customHeight="false" outlineLevel="0" collapsed="false">
      <c r="A49" s="23" t="s">
        <v>344</v>
      </c>
      <c r="B49" s="23" t="s">
        <v>931</v>
      </c>
      <c r="C49" s="23" t="s">
        <v>954</v>
      </c>
      <c r="D49" s="23" t="n">
        <v>96</v>
      </c>
      <c r="E49" s="23" t="s">
        <v>895</v>
      </c>
      <c r="F49" s="23" t="n">
        <v>3706</v>
      </c>
      <c r="G49" s="23" t="n">
        <v>6</v>
      </c>
      <c r="H49" s="23"/>
      <c r="I49" s="23"/>
      <c r="J49" s="23" t="n">
        <v>1</v>
      </c>
      <c r="K49" s="23" t="n">
        <v>113</v>
      </c>
      <c r="L49" s="23" t="n">
        <v>12.73</v>
      </c>
      <c r="M49" s="23" t="s">
        <v>896</v>
      </c>
    </row>
    <row r="50" customFormat="false" ht="32.8" hidden="false" customHeight="false" outlineLevel="0" collapsed="false">
      <c r="A50" s="26" t="s">
        <v>408</v>
      </c>
      <c r="B50" s="26" t="s">
        <v>931</v>
      </c>
      <c r="C50" s="26" t="s">
        <v>955</v>
      </c>
      <c r="D50" s="26" t="n">
        <v>83</v>
      </c>
      <c r="E50" s="26" t="s">
        <v>895</v>
      </c>
      <c r="F50" s="26" t="n">
        <v>3517</v>
      </c>
      <c r="G50" s="26" t="n">
        <v>9</v>
      </c>
      <c r="H50" s="26"/>
      <c r="I50" s="26"/>
      <c r="J50" s="26" t="n">
        <v>0</v>
      </c>
      <c r="K50" s="26" t="n">
        <v>55</v>
      </c>
      <c r="L50" s="26" t="n">
        <v>11</v>
      </c>
      <c r="M50" s="26" t="s">
        <v>896</v>
      </c>
    </row>
    <row r="51" customFormat="false" ht="32.8" hidden="false" customHeight="false" outlineLevel="0" collapsed="false">
      <c r="A51" s="23" t="s">
        <v>399</v>
      </c>
      <c r="B51" s="23" t="s">
        <v>931</v>
      </c>
      <c r="C51" s="23" t="s">
        <v>956</v>
      </c>
      <c r="D51" s="23" t="n">
        <v>82</v>
      </c>
      <c r="E51" s="23" t="s">
        <v>895</v>
      </c>
      <c r="F51" s="23" t="n">
        <v>4746</v>
      </c>
      <c r="G51" s="23" t="n">
        <v>4</v>
      </c>
      <c r="H51" s="23"/>
      <c r="I51" s="23"/>
      <c r="J51" s="23" t="n">
        <v>0</v>
      </c>
      <c r="K51" s="23" t="n">
        <v>65</v>
      </c>
      <c r="L51" s="23" t="n">
        <v>10.85</v>
      </c>
      <c r="M51" s="23" t="s">
        <v>896</v>
      </c>
    </row>
    <row r="52" customFormat="false" ht="32.8" hidden="false" customHeight="false" outlineLevel="0" collapsed="false">
      <c r="A52" s="26" t="s">
        <v>380</v>
      </c>
      <c r="B52" s="26" t="s">
        <v>931</v>
      </c>
      <c r="C52" s="26" t="s">
        <v>957</v>
      </c>
      <c r="D52" s="26" t="n">
        <v>85</v>
      </c>
      <c r="E52" s="26" t="s">
        <v>895</v>
      </c>
      <c r="F52" s="26" t="n">
        <v>3391</v>
      </c>
      <c r="G52" s="26" t="n">
        <v>3</v>
      </c>
      <c r="H52" s="26"/>
      <c r="I52" s="26"/>
      <c r="J52" s="26" t="n">
        <v>0</v>
      </c>
      <c r="K52" s="26" t="n">
        <v>209</v>
      </c>
      <c r="L52" s="26" t="n">
        <v>13.23</v>
      </c>
      <c r="M52" s="26" t="s">
        <v>896</v>
      </c>
    </row>
    <row r="53" customFormat="false" ht="32.8" hidden="false" customHeight="false" outlineLevel="0" collapsed="false">
      <c r="A53" s="23" t="s">
        <v>359</v>
      </c>
      <c r="B53" s="23" t="s">
        <v>931</v>
      </c>
      <c r="C53" s="23" t="s">
        <v>958</v>
      </c>
      <c r="D53" s="23" t="n">
        <v>65</v>
      </c>
      <c r="E53" s="23" t="s">
        <v>895</v>
      </c>
      <c r="F53" s="23" t="n">
        <v>3647</v>
      </c>
      <c r="G53" s="23" t="n">
        <v>4</v>
      </c>
      <c r="H53" s="23"/>
      <c r="I53" s="23"/>
      <c r="J53" s="23" t="n">
        <v>1</v>
      </c>
      <c r="K53" s="23" t="n">
        <v>32</v>
      </c>
      <c r="L53" s="23" t="n">
        <v>8.66</v>
      </c>
      <c r="M53" s="23" t="s">
        <v>896</v>
      </c>
    </row>
    <row r="54" customFormat="false" ht="32.8" hidden="false" customHeight="false" outlineLevel="0" collapsed="false">
      <c r="A54" s="26" t="s">
        <v>341</v>
      </c>
      <c r="B54" s="26" t="s">
        <v>931</v>
      </c>
      <c r="C54" s="26" t="s">
        <v>959</v>
      </c>
      <c r="D54" s="26" t="n">
        <v>81</v>
      </c>
      <c r="E54" s="26" t="s">
        <v>895</v>
      </c>
      <c r="F54" s="26" t="n">
        <v>3576</v>
      </c>
      <c r="G54" s="26" t="n">
        <v>7</v>
      </c>
      <c r="H54" s="26"/>
      <c r="I54" s="26"/>
      <c r="J54" s="26" t="n">
        <v>1</v>
      </c>
      <c r="K54" s="26" t="n">
        <v>128</v>
      </c>
      <c r="L54" s="26" t="n">
        <v>8.35</v>
      </c>
      <c r="M54" s="26" t="s">
        <v>896</v>
      </c>
    </row>
    <row r="55" customFormat="false" ht="32.8" hidden="false" customHeight="false" outlineLevel="0" collapsed="false">
      <c r="A55" s="23" t="s">
        <v>407</v>
      </c>
      <c r="B55" s="23" t="s">
        <v>931</v>
      </c>
      <c r="C55" s="23" t="s">
        <v>960</v>
      </c>
      <c r="D55" s="23" t="n">
        <v>76</v>
      </c>
      <c r="E55" s="23" t="s">
        <v>895</v>
      </c>
      <c r="F55" s="23" t="n">
        <v>3202</v>
      </c>
      <c r="G55" s="23" t="n">
        <v>3</v>
      </c>
      <c r="H55" s="23"/>
      <c r="I55" s="23"/>
      <c r="J55" s="23" t="n">
        <v>0</v>
      </c>
      <c r="K55" s="23" t="n">
        <v>55</v>
      </c>
      <c r="L55" s="23" t="n">
        <v>8.13</v>
      </c>
      <c r="M55" s="23" t="s">
        <v>896</v>
      </c>
    </row>
    <row r="56" customFormat="false" ht="32.8" hidden="false" customHeight="false" outlineLevel="0" collapsed="false">
      <c r="A56" s="26" t="s">
        <v>345</v>
      </c>
      <c r="B56" s="26" t="s">
        <v>931</v>
      </c>
      <c r="C56" s="26" t="s">
        <v>961</v>
      </c>
      <c r="D56" s="26" t="n">
        <v>77</v>
      </c>
      <c r="E56" s="26" t="s">
        <v>895</v>
      </c>
      <c r="F56" s="26" t="n">
        <v>3021</v>
      </c>
      <c r="G56" s="26" t="n">
        <v>3</v>
      </c>
      <c r="H56" s="26"/>
      <c r="I56" s="26"/>
      <c r="J56" s="26" t="n">
        <v>1</v>
      </c>
      <c r="K56" s="26" t="n">
        <v>89</v>
      </c>
      <c r="L56" s="26" t="n">
        <v>7.93</v>
      </c>
      <c r="M56" s="26" t="s">
        <v>896</v>
      </c>
    </row>
    <row r="57" customFormat="false" ht="32.8" hidden="false" customHeight="false" outlineLevel="0" collapsed="false">
      <c r="A57" s="23" t="s">
        <v>398</v>
      </c>
      <c r="B57" s="23" t="s">
        <v>931</v>
      </c>
      <c r="C57" s="23" t="s">
        <v>962</v>
      </c>
      <c r="D57" s="23" t="n">
        <v>71</v>
      </c>
      <c r="E57" s="23" t="s">
        <v>895</v>
      </c>
      <c r="F57" s="23" t="n">
        <v>3883</v>
      </c>
      <c r="G57" s="23" t="n">
        <v>3</v>
      </c>
      <c r="H57" s="23"/>
      <c r="I57" s="23"/>
      <c r="J57" s="23" t="n">
        <v>0</v>
      </c>
      <c r="K57" s="23" t="n">
        <v>78</v>
      </c>
      <c r="L57" s="23" t="n">
        <v>10.31</v>
      </c>
      <c r="M57" s="23" t="s">
        <v>896</v>
      </c>
    </row>
    <row r="58" customFormat="false" ht="32.8" hidden="false" customHeight="false" outlineLevel="0" collapsed="false">
      <c r="A58" s="26" t="s">
        <v>397</v>
      </c>
      <c r="B58" s="26" t="s">
        <v>931</v>
      </c>
      <c r="C58" s="26" t="s">
        <v>963</v>
      </c>
      <c r="D58" s="26" t="n">
        <v>96</v>
      </c>
      <c r="E58" s="26" t="s">
        <v>895</v>
      </c>
      <c r="F58" s="26" t="n">
        <v>2569</v>
      </c>
      <c r="G58" s="26" t="n">
        <v>4</v>
      </c>
      <c r="H58" s="26"/>
      <c r="I58" s="26"/>
      <c r="J58" s="26" t="n">
        <v>0</v>
      </c>
      <c r="K58" s="26" t="n">
        <v>80</v>
      </c>
      <c r="L58" s="26" t="n">
        <v>9.7</v>
      </c>
      <c r="M58" s="26" t="s">
        <v>896</v>
      </c>
    </row>
    <row r="59" customFormat="false" ht="32.8" hidden="false" customHeight="false" outlineLevel="0" collapsed="false">
      <c r="A59" s="23" t="s">
        <v>384</v>
      </c>
      <c r="B59" s="23" t="s">
        <v>931</v>
      </c>
      <c r="C59" s="23" t="s">
        <v>964</v>
      </c>
      <c r="D59" s="23" t="n">
        <v>78</v>
      </c>
      <c r="E59" s="23" t="s">
        <v>895</v>
      </c>
      <c r="F59" s="23" t="n">
        <v>2857</v>
      </c>
      <c r="G59" s="23" t="n">
        <v>11</v>
      </c>
      <c r="H59" s="23"/>
      <c r="I59" s="23"/>
      <c r="J59" s="23" t="n">
        <v>0</v>
      </c>
      <c r="K59" s="23" t="n">
        <v>154</v>
      </c>
      <c r="L59" s="23" t="n">
        <v>8.42</v>
      </c>
      <c r="M59" s="23" t="s">
        <v>896</v>
      </c>
    </row>
    <row r="60" customFormat="false" ht="32.8" hidden="false" customHeight="false" outlineLevel="0" collapsed="false">
      <c r="A60" s="26" t="s">
        <v>357</v>
      </c>
      <c r="B60" s="26" t="s">
        <v>931</v>
      </c>
      <c r="C60" s="26" t="s">
        <v>965</v>
      </c>
      <c r="D60" s="26" t="n">
        <v>81</v>
      </c>
      <c r="E60" s="26" t="s">
        <v>895</v>
      </c>
      <c r="F60" s="26" t="n">
        <v>2662</v>
      </c>
      <c r="G60" s="26" t="n">
        <v>3</v>
      </c>
      <c r="H60" s="26"/>
      <c r="I60" s="26"/>
      <c r="J60" s="26" t="n">
        <v>1</v>
      </c>
      <c r="K60" s="26" t="n">
        <v>34</v>
      </c>
      <c r="L60" s="26" t="n">
        <v>5.32</v>
      </c>
      <c r="M60" s="26" t="s">
        <v>896</v>
      </c>
    </row>
    <row r="61" customFormat="false" ht="32.8" hidden="false" customHeight="false" outlineLevel="0" collapsed="false">
      <c r="A61" s="23" t="s">
        <v>391</v>
      </c>
      <c r="B61" s="23" t="s">
        <v>931</v>
      </c>
      <c r="C61" s="23" t="s">
        <v>966</v>
      </c>
      <c r="D61" s="23" t="n">
        <v>76</v>
      </c>
      <c r="E61" s="23" t="s">
        <v>895</v>
      </c>
      <c r="F61" s="23" t="n">
        <v>3943</v>
      </c>
      <c r="G61" s="23" t="n">
        <v>3</v>
      </c>
      <c r="H61" s="23"/>
      <c r="I61" s="23"/>
      <c r="J61" s="23" t="n">
        <v>0</v>
      </c>
      <c r="K61" s="23" t="n">
        <v>122</v>
      </c>
      <c r="L61" s="23" t="n">
        <v>11.83</v>
      </c>
      <c r="M61" s="23" t="s">
        <v>896</v>
      </c>
    </row>
    <row r="62" customFormat="false" ht="32.8" hidden="false" customHeight="false" outlineLevel="0" collapsed="false">
      <c r="A62" s="26" t="s">
        <v>410</v>
      </c>
      <c r="B62" s="26" t="s">
        <v>931</v>
      </c>
      <c r="C62" s="26" t="s">
        <v>967</v>
      </c>
      <c r="D62" s="26" t="n">
        <v>86</v>
      </c>
      <c r="E62" s="26" t="s">
        <v>895</v>
      </c>
      <c r="F62" s="26" t="n">
        <v>3611</v>
      </c>
      <c r="G62" s="26" t="n">
        <v>115</v>
      </c>
      <c r="H62" s="26"/>
      <c r="I62" s="26"/>
      <c r="J62" s="26" t="n">
        <v>0</v>
      </c>
      <c r="K62" s="26" t="n">
        <v>38</v>
      </c>
      <c r="L62" s="26" t="n">
        <v>9.05</v>
      </c>
      <c r="M62" s="26" t="s">
        <v>896</v>
      </c>
    </row>
    <row r="63" customFormat="false" ht="32.8" hidden="false" customHeight="false" outlineLevel="0" collapsed="false">
      <c r="A63" s="23" t="s">
        <v>337</v>
      </c>
      <c r="B63" s="23" t="s">
        <v>931</v>
      </c>
      <c r="C63" s="23" t="s">
        <v>968</v>
      </c>
      <c r="D63" s="23" t="n">
        <v>64</v>
      </c>
      <c r="E63" s="23" t="s">
        <v>969</v>
      </c>
      <c r="F63" s="23" t="n">
        <v>604</v>
      </c>
      <c r="G63" s="23" t="n">
        <v>9</v>
      </c>
      <c r="H63" s="23" t="n">
        <v>1</v>
      </c>
      <c r="I63" s="23" t="n">
        <v>20</v>
      </c>
      <c r="J63" s="23" t="n">
        <v>1</v>
      </c>
      <c r="K63" s="23" t="n">
        <v>674</v>
      </c>
      <c r="L63" s="23" t="n">
        <v>13.32</v>
      </c>
      <c r="M63" s="23"/>
    </row>
    <row r="64" customFormat="false" ht="32.8" hidden="false" customHeight="false" outlineLevel="0" collapsed="false">
      <c r="A64" s="26" t="s">
        <v>460</v>
      </c>
      <c r="B64" s="26" t="s">
        <v>931</v>
      </c>
      <c r="C64" s="26" t="s">
        <v>970</v>
      </c>
      <c r="D64" s="26" t="n">
        <v>123</v>
      </c>
      <c r="E64" s="26" t="s">
        <v>895</v>
      </c>
      <c r="F64" s="26" t="n">
        <v>590</v>
      </c>
      <c r="G64" s="26" t="n">
        <v>2</v>
      </c>
      <c r="H64" s="26"/>
      <c r="I64" s="26"/>
      <c r="J64" s="26" t="n">
        <v>0</v>
      </c>
      <c r="K64" s="26" t="n">
        <v>2</v>
      </c>
      <c r="L64" s="26" t="n">
        <v>5.5</v>
      </c>
      <c r="M64" s="26" t="s">
        <v>936</v>
      </c>
    </row>
    <row r="65" customFormat="false" ht="32.8" hidden="false" customHeight="false" outlineLevel="0" collapsed="false">
      <c r="A65" s="23" t="s">
        <v>433</v>
      </c>
      <c r="B65" s="23" t="s">
        <v>931</v>
      </c>
      <c r="C65" s="23" t="s">
        <v>971</v>
      </c>
      <c r="D65" s="23" t="n">
        <v>70</v>
      </c>
      <c r="E65" s="23" t="s">
        <v>972</v>
      </c>
      <c r="F65" s="23" t="n">
        <v>1136</v>
      </c>
      <c r="G65" s="23" t="n">
        <v>3</v>
      </c>
      <c r="H65" s="23"/>
      <c r="I65" s="23"/>
      <c r="J65" s="23" t="n">
        <v>0</v>
      </c>
      <c r="K65" s="23" t="n">
        <v>11</v>
      </c>
      <c r="L65" s="23" t="n">
        <v>11.09</v>
      </c>
      <c r="M65" s="23"/>
    </row>
    <row r="66" customFormat="false" ht="32.8" hidden="false" customHeight="false" outlineLevel="0" collapsed="false">
      <c r="A66" s="26" t="s">
        <v>347</v>
      </c>
      <c r="B66" s="26" t="s">
        <v>931</v>
      </c>
      <c r="C66" s="26" t="s">
        <v>973</v>
      </c>
      <c r="D66" s="26" t="n">
        <v>49</v>
      </c>
      <c r="E66" s="26" t="s">
        <v>974</v>
      </c>
      <c r="F66" s="26" t="n">
        <v>956</v>
      </c>
      <c r="G66" s="26" t="n">
        <v>5</v>
      </c>
      <c r="H66" s="26"/>
      <c r="I66" s="26"/>
      <c r="J66" s="26" t="n">
        <v>1</v>
      </c>
      <c r="K66" s="26" t="n">
        <v>68</v>
      </c>
      <c r="L66" s="26" t="n">
        <v>8.47</v>
      </c>
      <c r="M66" s="26"/>
    </row>
    <row r="67" customFormat="false" ht="32.8" hidden="false" customHeight="false" outlineLevel="0" collapsed="false">
      <c r="A67" s="23" t="s">
        <v>455</v>
      </c>
      <c r="B67" s="23" t="s">
        <v>931</v>
      </c>
      <c r="C67" s="23" t="s">
        <v>975</v>
      </c>
      <c r="D67" s="23" t="n">
        <v>55</v>
      </c>
      <c r="E67" s="23" t="s">
        <v>976</v>
      </c>
      <c r="F67" s="23" t="n">
        <v>529</v>
      </c>
      <c r="G67" s="23" t="n">
        <v>1</v>
      </c>
      <c r="H67" s="23"/>
      <c r="I67" s="23"/>
      <c r="J67" s="23" t="n">
        <v>0</v>
      </c>
      <c r="K67" s="23" t="n">
        <v>3</v>
      </c>
      <c r="L67" s="23" t="n">
        <v>4.67</v>
      </c>
      <c r="M67" s="23" t="s">
        <v>977</v>
      </c>
    </row>
    <row r="68" customFormat="false" ht="32.8" hidden="false" customHeight="false" outlineLevel="0" collapsed="false">
      <c r="A68" s="26" t="s">
        <v>378</v>
      </c>
      <c r="B68" s="26" t="s">
        <v>931</v>
      </c>
      <c r="C68" s="26" t="s">
        <v>978</v>
      </c>
      <c r="D68" s="26" t="n">
        <v>65</v>
      </c>
      <c r="E68" s="26" t="s">
        <v>895</v>
      </c>
      <c r="F68" s="26" t="n">
        <v>4063</v>
      </c>
      <c r="G68" s="26" t="n">
        <v>4</v>
      </c>
      <c r="H68" s="26" t="n">
        <v>2</v>
      </c>
      <c r="I68" s="26" t="n">
        <v>59</v>
      </c>
      <c r="J68" s="26" t="n">
        <v>0</v>
      </c>
      <c r="K68" s="26" t="n">
        <v>248</v>
      </c>
      <c r="L68" s="26" t="n">
        <v>16.73</v>
      </c>
      <c r="M68" s="26" t="s">
        <v>896</v>
      </c>
    </row>
    <row r="69" customFormat="false" ht="32.8" hidden="false" customHeight="false" outlineLevel="0" collapsed="false">
      <c r="A69" s="23" t="s">
        <v>324</v>
      </c>
      <c r="B69" s="23" t="s">
        <v>931</v>
      </c>
      <c r="C69" s="23" t="s">
        <v>979</v>
      </c>
      <c r="D69" s="23" t="n">
        <v>80</v>
      </c>
      <c r="E69" s="23" t="s">
        <v>895</v>
      </c>
      <c r="F69" s="23" t="n">
        <v>5448</v>
      </c>
      <c r="G69" s="23" t="n">
        <v>7</v>
      </c>
      <c r="H69" s="23"/>
      <c r="I69" s="23"/>
      <c r="J69" s="23" t="n">
        <v>3</v>
      </c>
      <c r="K69" s="23" t="n">
        <v>363</v>
      </c>
      <c r="L69" s="23" t="n">
        <v>16.09</v>
      </c>
      <c r="M69" s="23" t="s">
        <v>896</v>
      </c>
    </row>
    <row r="70" customFormat="false" ht="32.8" hidden="false" customHeight="false" outlineLevel="0" collapsed="false">
      <c r="A70" s="26" t="s">
        <v>338</v>
      </c>
      <c r="B70" s="26" t="s">
        <v>931</v>
      </c>
      <c r="C70" s="26" t="s">
        <v>980</v>
      </c>
      <c r="D70" s="26" t="n">
        <v>92</v>
      </c>
      <c r="E70" s="26" t="s">
        <v>895</v>
      </c>
      <c r="F70" s="26" t="n">
        <v>4095</v>
      </c>
      <c r="G70" s="26" t="n">
        <v>4</v>
      </c>
      <c r="H70" s="26" t="n">
        <v>3</v>
      </c>
      <c r="I70" s="26" t="n">
        <v>17</v>
      </c>
      <c r="J70" s="26" t="n">
        <v>1</v>
      </c>
      <c r="K70" s="26" t="n">
        <v>569</v>
      </c>
      <c r="L70" s="26" t="n">
        <v>17.15</v>
      </c>
      <c r="M70" s="26" t="s">
        <v>896</v>
      </c>
    </row>
    <row r="71" customFormat="false" ht="32.8" hidden="false" customHeight="false" outlineLevel="0" collapsed="false">
      <c r="A71" s="23" t="s">
        <v>394</v>
      </c>
      <c r="B71" s="23" t="s">
        <v>931</v>
      </c>
      <c r="C71" s="23" t="s">
        <v>981</v>
      </c>
      <c r="D71" s="23" t="n">
        <v>99</v>
      </c>
      <c r="E71" s="23" t="s">
        <v>895</v>
      </c>
      <c r="F71" s="23" t="n">
        <v>5148</v>
      </c>
      <c r="G71" s="23" t="n">
        <v>8</v>
      </c>
      <c r="H71" s="23"/>
      <c r="I71" s="23"/>
      <c r="J71" s="23" t="n">
        <v>0</v>
      </c>
      <c r="K71" s="23" t="n">
        <v>87</v>
      </c>
      <c r="L71" s="23" t="n">
        <v>8.79</v>
      </c>
      <c r="M71" s="23" t="s">
        <v>896</v>
      </c>
    </row>
    <row r="72" customFormat="false" ht="32.8" hidden="false" customHeight="false" outlineLevel="0" collapsed="false">
      <c r="A72" s="26" t="s">
        <v>300</v>
      </c>
      <c r="B72" s="26" t="s">
        <v>931</v>
      </c>
      <c r="C72" s="26" t="s">
        <v>982</v>
      </c>
      <c r="D72" s="26" t="n">
        <v>93</v>
      </c>
      <c r="E72" s="26" t="s">
        <v>895</v>
      </c>
      <c r="F72" s="26" t="n">
        <v>3301</v>
      </c>
      <c r="G72" s="26" t="n">
        <v>4</v>
      </c>
      <c r="H72" s="26" t="n">
        <v>4</v>
      </c>
      <c r="I72" s="26" t="n">
        <v>20</v>
      </c>
      <c r="J72" s="26" t="n">
        <v>18</v>
      </c>
      <c r="K72" s="26" t="n">
        <v>3004</v>
      </c>
      <c r="L72" s="26" t="n">
        <v>7.78</v>
      </c>
      <c r="M72" s="26" t="s">
        <v>896</v>
      </c>
    </row>
    <row r="73" customFormat="false" ht="32.8" hidden="false" customHeight="false" outlineLevel="0" collapsed="false">
      <c r="A73" s="23" t="s">
        <v>371</v>
      </c>
      <c r="B73" s="23" t="s">
        <v>931</v>
      </c>
      <c r="C73" s="23" t="s">
        <v>983</v>
      </c>
      <c r="D73" s="23" t="n">
        <v>87</v>
      </c>
      <c r="E73" s="23" t="s">
        <v>895</v>
      </c>
      <c r="F73" s="23" t="n">
        <v>4499</v>
      </c>
      <c r="G73" s="23" t="n">
        <v>6</v>
      </c>
      <c r="H73" s="23" t="n">
        <v>1</v>
      </c>
      <c r="I73" s="23" t="n">
        <v>38</v>
      </c>
      <c r="J73" s="23" t="n">
        <v>0</v>
      </c>
      <c r="K73" s="23" t="n">
        <v>660</v>
      </c>
      <c r="L73" s="23" t="n">
        <v>25.07</v>
      </c>
      <c r="M73" s="23" t="s">
        <v>896</v>
      </c>
    </row>
    <row r="74" customFormat="false" ht="32.8" hidden="false" customHeight="false" outlineLevel="0" collapsed="false">
      <c r="A74" s="26" t="s">
        <v>335</v>
      </c>
      <c r="B74" s="26" t="s">
        <v>931</v>
      </c>
      <c r="C74" s="26" t="s">
        <v>984</v>
      </c>
      <c r="D74" s="26" t="n">
        <v>54</v>
      </c>
      <c r="E74" s="26" t="s">
        <v>985</v>
      </c>
      <c r="F74" s="26" t="n">
        <v>664</v>
      </c>
      <c r="G74" s="26" t="n">
        <v>7</v>
      </c>
      <c r="H74" s="26"/>
      <c r="I74" s="26"/>
      <c r="J74" s="26" t="n">
        <v>2</v>
      </c>
      <c r="K74" s="26" t="n">
        <v>11</v>
      </c>
      <c r="L74" s="26" t="n">
        <v>10.91</v>
      </c>
      <c r="M74" s="26"/>
    </row>
    <row r="75" customFormat="false" ht="32.8" hidden="false" customHeight="false" outlineLevel="0" collapsed="false">
      <c r="A75" s="23" t="s">
        <v>986</v>
      </c>
      <c r="B75" s="23" t="s">
        <v>931</v>
      </c>
      <c r="C75" s="23" t="s">
        <v>987</v>
      </c>
      <c r="D75" s="23" t="n">
        <v>59</v>
      </c>
      <c r="E75" s="23" t="s">
        <v>988</v>
      </c>
      <c r="F75" s="23" t="n">
        <v>511</v>
      </c>
      <c r="G75" s="23" t="n">
        <v>1</v>
      </c>
      <c r="H75" s="23"/>
      <c r="I75" s="23"/>
      <c r="J75" s="23"/>
      <c r="K75" s="23"/>
      <c r="L75" s="23"/>
      <c r="M75" s="23" t="s">
        <v>977</v>
      </c>
    </row>
    <row r="76" customFormat="false" ht="32.8" hidden="false" customHeight="false" outlineLevel="0" collapsed="false">
      <c r="A76" s="26" t="s">
        <v>414</v>
      </c>
      <c r="B76" s="26" t="s">
        <v>931</v>
      </c>
      <c r="C76" s="26" t="s">
        <v>989</v>
      </c>
      <c r="D76" s="26" t="n">
        <v>55</v>
      </c>
      <c r="E76" s="26" t="s">
        <v>895</v>
      </c>
      <c r="F76" s="26" t="n">
        <v>2101</v>
      </c>
      <c r="G76" s="26" t="n">
        <v>3</v>
      </c>
      <c r="H76" s="26"/>
      <c r="I76" s="26"/>
      <c r="J76" s="26" t="n">
        <v>0</v>
      </c>
      <c r="K76" s="26" t="n">
        <v>32</v>
      </c>
      <c r="L76" s="26" t="n">
        <v>9.41</v>
      </c>
      <c r="M76" s="26" t="s">
        <v>896</v>
      </c>
    </row>
    <row r="77" customFormat="false" ht="32.8" hidden="false" customHeight="false" outlineLevel="0" collapsed="false">
      <c r="A77" s="23" t="s">
        <v>990</v>
      </c>
      <c r="B77" s="23" t="s">
        <v>931</v>
      </c>
      <c r="C77" s="23" t="s">
        <v>991</v>
      </c>
      <c r="D77" s="23" t="n">
        <v>53</v>
      </c>
      <c r="E77" s="23" t="s">
        <v>895</v>
      </c>
      <c r="F77" s="23" t="n">
        <v>252</v>
      </c>
      <c r="G77" s="23" t="n">
        <v>1</v>
      </c>
      <c r="H77" s="23"/>
      <c r="I77" s="23"/>
      <c r="J77" s="23"/>
      <c r="K77" s="23"/>
      <c r="L77" s="23"/>
      <c r="M77" s="23" t="s">
        <v>992</v>
      </c>
    </row>
    <row r="78" customFormat="false" ht="32.8" hidden="false" customHeight="false" outlineLevel="0" collapsed="false">
      <c r="A78" s="26" t="s">
        <v>367</v>
      </c>
      <c r="B78" s="26" t="s">
        <v>931</v>
      </c>
      <c r="C78" s="26" t="s">
        <v>993</v>
      </c>
      <c r="D78" s="26" t="n">
        <v>47</v>
      </c>
      <c r="E78" s="26" t="s">
        <v>895</v>
      </c>
      <c r="F78" s="26" t="n">
        <v>269</v>
      </c>
      <c r="G78" s="26" t="n">
        <v>1</v>
      </c>
      <c r="H78" s="26"/>
      <c r="I78" s="26"/>
      <c r="J78" s="26" t="n">
        <v>1</v>
      </c>
      <c r="K78" s="26" t="n">
        <v>3</v>
      </c>
      <c r="L78" s="26" t="n">
        <v>2.67</v>
      </c>
      <c r="M78" s="26" t="s">
        <v>992</v>
      </c>
    </row>
    <row r="79" customFormat="false" ht="32.8" hidden="false" customHeight="false" outlineLevel="0" collapsed="false">
      <c r="A79" s="23" t="s">
        <v>395</v>
      </c>
      <c r="B79" s="23" t="s">
        <v>931</v>
      </c>
      <c r="C79" s="23" t="s">
        <v>994</v>
      </c>
      <c r="D79" s="23" t="n">
        <v>68</v>
      </c>
      <c r="E79" s="23" t="s">
        <v>895</v>
      </c>
      <c r="F79" s="23" t="n">
        <v>4607</v>
      </c>
      <c r="G79" s="23" t="n">
        <v>7</v>
      </c>
      <c r="H79" s="23" t="n">
        <v>1</v>
      </c>
      <c r="I79" s="23" t="n">
        <v>52</v>
      </c>
      <c r="J79" s="23" t="n">
        <v>0</v>
      </c>
      <c r="K79" s="23" t="n">
        <v>86</v>
      </c>
      <c r="L79" s="23" t="n">
        <v>8.77</v>
      </c>
      <c r="M79" s="23" t="s">
        <v>896</v>
      </c>
    </row>
    <row r="80" customFormat="false" ht="32.8" hidden="false" customHeight="false" outlineLevel="0" collapsed="false">
      <c r="A80" s="26" t="s">
        <v>353</v>
      </c>
      <c r="B80" s="26" t="s">
        <v>931</v>
      </c>
      <c r="C80" s="26" t="s">
        <v>995</v>
      </c>
      <c r="D80" s="26" t="n">
        <v>81</v>
      </c>
      <c r="E80" s="26" t="s">
        <v>895</v>
      </c>
      <c r="F80" s="26" t="n">
        <v>1420</v>
      </c>
      <c r="G80" s="26" t="n">
        <v>4</v>
      </c>
      <c r="H80" s="26"/>
      <c r="I80" s="26"/>
      <c r="J80" s="26" t="n">
        <v>1</v>
      </c>
      <c r="K80" s="26" t="n">
        <v>45</v>
      </c>
      <c r="L80" s="26" t="n">
        <v>19.04</v>
      </c>
      <c r="M80" s="26" t="s">
        <v>896</v>
      </c>
    </row>
    <row r="81" customFormat="false" ht="32.8" hidden="false" customHeight="false" outlineLevel="0" collapsed="false">
      <c r="A81" s="23" t="s">
        <v>441</v>
      </c>
      <c r="B81" s="23" t="s">
        <v>931</v>
      </c>
      <c r="C81" s="23" t="s">
        <v>996</v>
      </c>
      <c r="D81" s="23" t="n">
        <v>56</v>
      </c>
      <c r="E81" s="23" t="s">
        <v>895</v>
      </c>
      <c r="F81" s="23" t="n">
        <v>273</v>
      </c>
      <c r="G81" s="23" t="n">
        <v>1</v>
      </c>
      <c r="H81" s="23"/>
      <c r="I81" s="23"/>
      <c r="J81" s="23" t="n">
        <v>0</v>
      </c>
      <c r="K81" s="23" t="n">
        <v>8</v>
      </c>
      <c r="L81" s="23" t="n">
        <v>4.75</v>
      </c>
      <c r="M81" s="23" t="s">
        <v>992</v>
      </c>
    </row>
    <row r="82" customFormat="false" ht="32.8" hidden="false" customHeight="false" outlineLevel="0" collapsed="false">
      <c r="A82" s="26" t="s">
        <v>392</v>
      </c>
      <c r="B82" s="26" t="s">
        <v>931</v>
      </c>
      <c r="C82" s="26" t="s">
        <v>997</v>
      </c>
      <c r="D82" s="26" t="n">
        <v>86</v>
      </c>
      <c r="E82" s="26" t="s">
        <v>998</v>
      </c>
      <c r="F82" s="26" t="n">
        <v>1012</v>
      </c>
      <c r="G82" s="26" t="n">
        <v>10</v>
      </c>
      <c r="H82" s="26"/>
      <c r="I82" s="26"/>
      <c r="J82" s="26" t="n">
        <v>0</v>
      </c>
      <c r="K82" s="26" t="n">
        <v>101</v>
      </c>
      <c r="L82" s="26" t="n">
        <v>9.46</v>
      </c>
      <c r="M82" s="26"/>
    </row>
    <row r="83" customFormat="false" ht="32.8" hidden="false" customHeight="false" outlineLevel="0" collapsed="false">
      <c r="A83" s="23" t="s">
        <v>368</v>
      </c>
      <c r="B83" s="23" t="s">
        <v>931</v>
      </c>
      <c r="C83" s="23" t="s">
        <v>999</v>
      </c>
      <c r="D83" s="23" t="n">
        <v>90</v>
      </c>
      <c r="E83" s="23" t="s">
        <v>1000</v>
      </c>
      <c r="F83" s="23" t="n">
        <v>600</v>
      </c>
      <c r="G83" s="23" t="n">
        <v>17</v>
      </c>
      <c r="H83" s="23"/>
      <c r="I83" s="23"/>
      <c r="J83" s="23" t="n">
        <v>0</v>
      </c>
      <c r="K83" s="23" t="n">
        <v>1010</v>
      </c>
      <c r="L83" s="23" t="n">
        <v>8.63</v>
      </c>
      <c r="M83" s="23"/>
    </row>
    <row r="84" customFormat="false" ht="32.8" hidden="false" customHeight="false" outlineLevel="0" collapsed="false">
      <c r="A84" s="26" t="s">
        <v>326</v>
      </c>
      <c r="B84" s="26" t="s">
        <v>931</v>
      </c>
      <c r="C84" s="26" t="s">
        <v>1001</v>
      </c>
      <c r="D84" s="26" t="n">
        <v>63</v>
      </c>
      <c r="E84" s="26" t="s">
        <v>1002</v>
      </c>
      <c r="F84" s="26" t="n">
        <v>604</v>
      </c>
      <c r="G84" s="26" t="n">
        <v>14</v>
      </c>
      <c r="H84" s="26"/>
      <c r="I84" s="26"/>
      <c r="J84" s="26" t="n">
        <v>3</v>
      </c>
      <c r="K84" s="26" t="n">
        <v>10</v>
      </c>
      <c r="L84" s="26" t="n">
        <v>5.6</v>
      </c>
      <c r="M84" s="26"/>
    </row>
    <row r="85" customFormat="false" ht="32.8" hidden="false" customHeight="false" outlineLevel="0" collapsed="false">
      <c r="A85" s="23" t="s">
        <v>456</v>
      </c>
      <c r="B85" s="23" t="s">
        <v>931</v>
      </c>
      <c r="C85" s="23" t="s">
        <v>1003</v>
      </c>
      <c r="D85" s="23" t="n">
        <v>38</v>
      </c>
      <c r="E85" s="23" t="s">
        <v>895</v>
      </c>
      <c r="F85" s="23" t="n">
        <v>265</v>
      </c>
      <c r="G85" s="23" t="n">
        <v>1</v>
      </c>
      <c r="H85" s="23"/>
      <c r="I85" s="23"/>
      <c r="J85" s="23" t="n">
        <v>0</v>
      </c>
      <c r="K85" s="23" t="n">
        <v>3</v>
      </c>
      <c r="L85" s="23" t="n">
        <v>7.33</v>
      </c>
      <c r="M85" s="23" t="s">
        <v>992</v>
      </c>
    </row>
    <row r="86" customFormat="false" ht="32.8" hidden="false" customHeight="false" outlineLevel="0" collapsed="false">
      <c r="A86" s="26" t="s">
        <v>330</v>
      </c>
      <c r="B86" s="26" t="s">
        <v>931</v>
      </c>
      <c r="C86" s="26" t="s">
        <v>1004</v>
      </c>
      <c r="D86" s="26" t="n">
        <v>65</v>
      </c>
      <c r="E86" s="26" t="s">
        <v>895</v>
      </c>
      <c r="F86" s="26" t="n">
        <v>3547</v>
      </c>
      <c r="G86" s="26" t="n">
        <v>6</v>
      </c>
      <c r="H86" s="26"/>
      <c r="I86" s="26"/>
      <c r="J86" s="26" t="n">
        <v>2</v>
      </c>
      <c r="K86" s="26" t="n">
        <v>344</v>
      </c>
      <c r="L86" s="26" t="n">
        <v>7.22</v>
      </c>
      <c r="M86" s="26" t="s">
        <v>896</v>
      </c>
    </row>
    <row r="87" customFormat="false" ht="32.8" hidden="false" customHeight="false" outlineLevel="0" collapsed="false">
      <c r="A87" s="23" t="s">
        <v>436</v>
      </c>
      <c r="B87" s="23" t="s">
        <v>931</v>
      </c>
      <c r="C87" s="23" t="s">
        <v>1005</v>
      </c>
      <c r="D87" s="23" t="n">
        <v>102</v>
      </c>
      <c r="E87" s="23" t="s">
        <v>895</v>
      </c>
      <c r="F87" s="23" t="n">
        <v>932</v>
      </c>
      <c r="G87" s="23" t="n">
        <v>8</v>
      </c>
      <c r="H87" s="23"/>
      <c r="I87" s="23"/>
      <c r="J87" s="23" t="n">
        <v>0</v>
      </c>
      <c r="K87" s="23" t="n">
        <v>10</v>
      </c>
      <c r="L87" s="23" t="n">
        <v>8.7</v>
      </c>
      <c r="M87" s="23" t="s">
        <v>896</v>
      </c>
    </row>
    <row r="88" customFormat="false" ht="32.8" hidden="false" customHeight="false" outlineLevel="0" collapsed="false">
      <c r="A88" s="26" t="s">
        <v>389</v>
      </c>
      <c r="B88" s="26" t="s">
        <v>931</v>
      </c>
      <c r="C88" s="26" t="s">
        <v>1006</v>
      </c>
      <c r="D88" s="26" t="n">
        <v>77</v>
      </c>
      <c r="E88" s="26" t="s">
        <v>1007</v>
      </c>
      <c r="F88" s="26" t="n">
        <v>603</v>
      </c>
      <c r="G88" s="26" t="n">
        <v>9</v>
      </c>
      <c r="H88" s="26"/>
      <c r="I88" s="26"/>
      <c r="J88" s="26" t="n">
        <v>0</v>
      </c>
      <c r="K88" s="26" t="n">
        <v>133</v>
      </c>
      <c r="L88" s="26" t="n">
        <v>9.5</v>
      </c>
      <c r="M88" s="26"/>
    </row>
    <row r="89" customFormat="false" ht="32.8" hidden="false" customHeight="false" outlineLevel="0" collapsed="false">
      <c r="A89" s="23" t="s">
        <v>424</v>
      </c>
      <c r="B89" s="23" t="s">
        <v>931</v>
      </c>
      <c r="C89" s="23" t="s">
        <v>1008</v>
      </c>
      <c r="D89" s="23" t="n">
        <v>68</v>
      </c>
      <c r="E89" s="23" t="s">
        <v>1009</v>
      </c>
      <c r="F89" s="23" t="n">
        <v>987</v>
      </c>
      <c r="G89" s="23" t="n">
        <v>3</v>
      </c>
      <c r="H89" s="23"/>
      <c r="I89" s="23"/>
      <c r="J89" s="23" t="n">
        <v>0</v>
      </c>
      <c r="K89" s="23" t="n">
        <v>20</v>
      </c>
      <c r="L89" s="23" t="n">
        <v>6.95</v>
      </c>
      <c r="M89" s="23"/>
    </row>
    <row r="90" customFormat="false" ht="32.8" hidden="false" customHeight="false" outlineLevel="0" collapsed="false">
      <c r="A90" s="26" t="s">
        <v>439</v>
      </c>
      <c r="B90" s="26" t="s">
        <v>931</v>
      </c>
      <c r="C90" s="26" t="s">
        <v>1010</v>
      </c>
      <c r="D90" s="26" t="n">
        <v>43</v>
      </c>
      <c r="E90" s="26" t="s">
        <v>1011</v>
      </c>
      <c r="F90" s="26" t="n">
        <v>1123</v>
      </c>
      <c r="G90" s="26" t="n">
        <v>2</v>
      </c>
      <c r="H90" s="26"/>
      <c r="I90" s="26"/>
      <c r="J90" s="26" t="n">
        <v>0</v>
      </c>
      <c r="K90" s="26" t="n">
        <v>9</v>
      </c>
      <c r="L90" s="26" t="n">
        <v>8.89</v>
      </c>
      <c r="M90" s="26"/>
    </row>
    <row r="91" customFormat="false" ht="32.8" hidden="false" customHeight="false" outlineLevel="0" collapsed="false">
      <c r="A91" s="23" t="s">
        <v>343</v>
      </c>
      <c r="B91" s="23" t="s">
        <v>931</v>
      </c>
      <c r="C91" s="23" t="s">
        <v>1012</v>
      </c>
      <c r="D91" s="23" t="n">
        <v>85</v>
      </c>
      <c r="E91" s="23" t="s">
        <v>1013</v>
      </c>
      <c r="F91" s="23" t="n">
        <v>573</v>
      </c>
      <c r="G91" s="23" t="n">
        <v>12</v>
      </c>
      <c r="H91" s="23"/>
      <c r="I91" s="23"/>
      <c r="J91" s="23" t="n">
        <v>1</v>
      </c>
      <c r="K91" s="23" t="n">
        <v>120</v>
      </c>
      <c r="L91" s="23" t="n">
        <v>9</v>
      </c>
      <c r="M91" s="23" t="s">
        <v>1014</v>
      </c>
    </row>
    <row r="92" customFormat="false" ht="32.8" hidden="false" customHeight="false" outlineLevel="0" collapsed="false">
      <c r="A92" s="26" t="s">
        <v>405</v>
      </c>
      <c r="B92" s="26" t="s">
        <v>931</v>
      </c>
      <c r="C92" s="26" t="s">
        <v>1015</v>
      </c>
      <c r="D92" s="26" t="n">
        <v>90</v>
      </c>
      <c r="E92" s="26" t="s">
        <v>895</v>
      </c>
      <c r="F92" s="26" t="n">
        <v>466</v>
      </c>
      <c r="G92" s="26" t="n">
        <v>1</v>
      </c>
      <c r="H92" s="26"/>
      <c r="I92" s="26"/>
      <c r="J92" s="26" t="n">
        <v>0</v>
      </c>
      <c r="K92" s="26" t="n">
        <v>59</v>
      </c>
      <c r="L92" s="26" t="n">
        <v>11.47</v>
      </c>
      <c r="M92" s="26" t="s">
        <v>992</v>
      </c>
    </row>
    <row r="93" customFormat="false" ht="32.8" hidden="false" customHeight="false" outlineLevel="0" collapsed="false">
      <c r="A93" s="23" t="s">
        <v>457</v>
      </c>
      <c r="B93" s="23" t="s">
        <v>931</v>
      </c>
      <c r="C93" s="23" t="s">
        <v>1016</v>
      </c>
      <c r="D93" s="23" t="n">
        <v>40</v>
      </c>
      <c r="E93" s="23" t="s">
        <v>1017</v>
      </c>
      <c r="F93" s="23" t="n">
        <v>886</v>
      </c>
      <c r="G93" s="23" t="n">
        <v>3</v>
      </c>
      <c r="H93" s="23"/>
      <c r="I93" s="23"/>
      <c r="J93" s="23" t="n">
        <v>0</v>
      </c>
      <c r="K93" s="23" t="n">
        <v>3</v>
      </c>
      <c r="L93" s="23" t="n">
        <v>8.33</v>
      </c>
      <c r="M93" s="23"/>
    </row>
    <row r="94" customFormat="false" ht="32.8" hidden="false" customHeight="false" outlineLevel="0" collapsed="false">
      <c r="A94" s="26" t="s">
        <v>340</v>
      </c>
      <c r="B94" s="26" t="s">
        <v>931</v>
      </c>
      <c r="C94" s="26" t="s">
        <v>1018</v>
      </c>
      <c r="D94" s="26" t="n">
        <v>65</v>
      </c>
      <c r="E94" s="26" t="s">
        <v>1019</v>
      </c>
      <c r="F94" s="26" t="n">
        <v>547</v>
      </c>
      <c r="G94" s="26" t="n">
        <v>10</v>
      </c>
      <c r="H94" s="26"/>
      <c r="I94" s="26"/>
      <c r="J94" s="26" t="n">
        <v>1</v>
      </c>
      <c r="K94" s="26" t="n">
        <v>142</v>
      </c>
      <c r="L94" s="26" t="n">
        <v>6.98</v>
      </c>
      <c r="M94" s="26" t="s">
        <v>1014</v>
      </c>
    </row>
    <row r="95" customFormat="false" ht="32.8" hidden="false" customHeight="false" outlineLevel="0" collapsed="false">
      <c r="A95" s="23" t="s">
        <v>331</v>
      </c>
      <c r="B95" s="23" t="s">
        <v>931</v>
      </c>
      <c r="C95" s="23" t="s">
        <v>1020</v>
      </c>
      <c r="D95" s="23" t="n">
        <v>75</v>
      </c>
      <c r="E95" s="23" t="s">
        <v>1021</v>
      </c>
      <c r="F95" s="23" t="n">
        <v>926</v>
      </c>
      <c r="G95" s="23" t="n">
        <v>13</v>
      </c>
      <c r="H95" s="23" t="n">
        <v>1</v>
      </c>
      <c r="I95" s="23" t="n">
        <v>86</v>
      </c>
      <c r="J95" s="23" t="n">
        <v>2</v>
      </c>
      <c r="K95" s="23" t="n">
        <v>246</v>
      </c>
      <c r="L95" s="23" t="n">
        <v>9.86</v>
      </c>
      <c r="M95" s="23"/>
    </row>
    <row r="96" customFormat="false" ht="32.8" hidden="false" customHeight="false" outlineLevel="0" collapsed="false">
      <c r="A96" s="26" t="s">
        <v>363</v>
      </c>
      <c r="B96" s="26" t="s">
        <v>931</v>
      </c>
      <c r="C96" s="26" t="s">
        <v>1022</v>
      </c>
      <c r="D96" s="26" t="n">
        <v>67</v>
      </c>
      <c r="E96" s="26" t="s">
        <v>1023</v>
      </c>
      <c r="F96" s="26" t="n">
        <v>1037</v>
      </c>
      <c r="G96" s="26" t="n">
        <v>12</v>
      </c>
      <c r="H96" s="26"/>
      <c r="I96" s="26"/>
      <c r="J96" s="26" t="n">
        <v>1</v>
      </c>
      <c r="K96" s="26" t="n">
        <v>14</v>
      </c>
      <c r="L96" s="26" t="n">
        <v>9.14</v>
      </c>
      <c r="M96" s="26"/>
    </row>
    <row r="97" customFormat="false" ht="32.8" hidden="false" customHeight="false" outlineLevel="0" collapsed="false">
      <c r="A97" s="23" t="s">
        <v>382</v>
      </c>
      <c r="B97" s="23" t="s">
        <v>931</v>
      </c>
      <c r="C97" s="23" t="s">
        <v>1024</v>
      </c>
      <c r="D97" s="23" t="n">
        <v>80</v>
      </c>
      <c r="E97" s="23" t="s">
        <v>895</v>
      </c>
      <c r="F97" s="23" t="n">
        <v>2766</v>
      </c>
      <c r="G97" s="23" t="n">
        <v>4</v>
      </c>
      <c r="H97" s="23"/>
      <c r="I97" s="23"/>
      <c r="J97" s="23" t="n">
        <v>0</v>
      </c>
      <c r="K97" s="23" t="n">
        <v>185</v>
      </c>
      <c r="L97" s="23" t="n">
        <v>12.19</v>
      </c>
      <c r="M97" s="23" t="s">
        <v>896</v>
      </c>
    </row>
    <row r="98" customFormat="false" ht="32.8" hidden="false" customHeight="false" outlineLevel="0" collapsed="false">
      <c r="A98" s="26" t="s">
        <v>336</v>
      </c>
      <c r="B98" s="26" t="s">
        <v>931</v>
      </c>
      <c r="C98" s="26" t="s">
        <v>1025</v>
      </c>
      <c r="D98" s="26" t="n">
        <v>63</v>
      </c>
      <c r="E98" s="26" t="s">
        <v>1026</v>
      </c>
      <c r="F98" s="26" t="n">
        <v>847</v>
      </c>
      <c r="G98" s="26" t="n">
        <v>8</v>
      </c>
      <c r="H98" s="26"/>
      <c r="I98" s="26"/>
      <c r="J98" s="26" t="n">
        <v>1</v>
      </c>
      <c r="K98" s="26" t="n">
        <v>1700</v>
      </c>
      <c r="L98" s="26" t="n">
        <v>6.95</v>
      </c>
      <c r="M98" s="26"/>
    </row>
    <row r="99" customFormat="false" ht="32.8" hidden="false" customHeight="false" outlineLevel="0" collapsed="false">
      <c r="A99" s="23" t="s">
        <v>463</v>
      </c>
      <c r="B99" s="23" t="s">
        <v>931</v>
      </c>
      <c r="C99" s="23" t="s">
        <v>1027</v>
      </c>
      <c r="D99" s="23" t="n">
        <v>87</v>
      </c>
      <c r="E99" s="23" t="s">
        <v>895</v>
      </c>
      <c r="F99" s="23" t="n">
        <v>273</v>
      </c>
      <c r="G99" s="23" t="n">
        <v>1</v>
      </c>
      <c r="H99" s="23"/>
      <c r="I99" s="23"/>
      <c r="J99" s="23" t="n">
        <v>0</v>
      </c>
      <c r="K99" s="23" t="n">
        <v>1</v>
      </c>
      <c r="L99" s="23" t="n">
        <v>3</v>
      </c>
      <c r="M99" s="23" t="s">
        <v>992</v>
      </c>
    </row>
    <row r="100" customFormat="false" ht="32.8" hidden="false" customHeight="false" outlineLevel="0" collapsed="false">
      <c r="A100" s="26" t="s">
        <v>465</v>
      </c>
      <c r="B100" s="26" t="s">
        <v>931</v>
      </c>
      <c r="C100" s="26" t="s">
        <v>1028</v>
      </c>
      <c r="D100" s="26" t="n">
        <v>79</v>
      </c>
      <c r="E100" s="26" t="s">
        <v>895</v>
      </c>
      <c r="F100" s="26" t="n">
        <v>267</v>
      </c>
      <c r="G100" s="26" t="n">
        <v>1</v>
      </c>
      <c r="H100" s="26"/>
      <c r="I100" s="26"/>
      <c r="J100" s="26" t="n">
        <v>0</v>
      </c>
      <c r="K100" s="26" t="n">
        <v>1</v>
      </c>
      <c r="L100" s="26" t="n">
        <v>10</v>
      </c>
      <c r="M100" s="26" t="s">
        <v>992</v>
      </c>
    </row>
    <row r="101" customFormat="false" ht="32.8" hidden="false" customHeight="false" outlineLevel="0" collapsed="false">
      <c r="A101" s="23" t="s">
        <v>1029</v>
      </c>
      <c r="B101" s="23" t="s">
        <v>931</v>
      </c>
      <c r="C101" s="23" t="s">
        <v>1030</v>
      </c>
      <c r="D101" s="23" t="n">
        <v>81</v>
      </c>
      <c r="E101" s="23" t="s">
        <v>895</v>
      </c>
      <c r="F101" s="23" t="n">
        <v>274</v>
      </c>
      <c r="G101" s="23" t="n">
        <v>1</v>
      </c>
      <c r="H101" s="23"/>
      <c r="I101" s="23"/>
      <c r="J101" s="23"/>
      <c r="K101" s="23"/>
      <c r="L101" s="23"/>
      <c r="M101" s="23" t="s">
        <v>992</v>
      </c>
    </row>
    <row r="102" customFormat="false" ht="32.8" hidden="false" customHeight="false" outlineLevel="0" collapsed="false">
      <c r="A102" s="26" t="s">
        <v>401</v>
      </c>
      <c r="B102" s="26" t="s">
        <v>931</v>
      </c>
      <c r="C102" s="26" t="s">
        <v>1031</v>
      </c>
      <c r="D102" s="26" t="n">
        <v>72</v>
      </c>
      <c r="E102" s="26" t="s">
        <v>895</v>
      </c>
      <c r="F102" s="26" t="n">
        <v>4447</v>
      </c>
      <c r="G102" s="26" t="n">
        <v>4</v>
      </c>
      <c r="H102" s="26"/>
      <c r="I102" s="26"/>
      <c r="J102" s="26" t="n">
        <v>0</v>
      </c>
      <c r="K102" s="26" t="n">
        <v>62</v>
      </c>
      <c r="L102" s="26" t="n">
        <v>6.9</v>
      </c>
      <c r="M102" s="26" t="s">
        <v>896</v>
      </c>
    </row>
    <row r="103" customFormat="false" ht="32.8" hidden="false" customHeight="false" outlineLevel="0" collapsed="false">
      <c r="A103" s="23" t="s">
        <v>313</v>
      </c>
      <c r="B103" s="23" t="s">
        <v>931</v>
      </c>
      <c r="C103" s="23" t="s">
        <v>1032</v>
      </c>
      <c r="D103" s="23" t="n">
        <v>31</v>
      </c>
      <c r="E103" s="23" t="s">
        <v>1033</v>
      </c>
      <c r="F103" s="23" t="n">
        <v>935</v>
      </c>
      <c r="G103" s="23" t="n">
        <v>3</v>
      </c>
      <c r="H103" s="23"/>
      <c r="I103" s="23"/>
      <c r="J103" s="23" t="n">
        <v>4</v>
      </c>
      <c r="K103" s="23" t="n">
        <v>275</v>
      </c>
      <c r="L103" s="23" t="n">
        <v>16.49</v>
      </c>
      <c r="M103" s="23"/>
    </row>
    <row r="104" customFormat="false" ht="32.8" hidden="false" customHeight="false" outlineLevel="0" collapsed="false">
      <c r="A104" s="26" t="s">
        <v>360</v>
      </c>
      <c r="B104" s="26" t="s">
        <v>931</v>
      </c>
      <c r="C104" s="26" t="s">
        <v>1034</v>
      </c>
      <c r="D104" s="26" t="n">
        <v>44</v>
      </c>
      <c r="E104" s="26" t="s">
        <v>895</v>
      </c>
      <c r="F104" s="26" t="n">
        <v>269</v>
      </c>
      <c r="G104" s="26" t="n">
        <v>1</v>
      </c>
      <c r="H104" s="26"/>
      <c r="I104" s="26"/>
      <c r="J104" s="26" t="n">
        <v>1</v>
      </c>
      <c r="K104" s="26" t="n">
        <v>30</v>
      </c>
      <c r="L104" s="26" t="n">
        <v>3.6</v>
      </c>
      <c r="M104" s="26" t="s">
        <v>992</v>
      </c>
    </row>
    <row r="105" customFormat="false" ht="32.8" hidden="false" customHeight="false" outlineLevel="0" collapsed="false">
      <c r="A105" s="23" t="s">
        <v>383</v>
      </c>
      <c r="B105" s="23" t="s">
        <v>931</v>
      </c>
      <c r="C105" s="23" t="s">
        <v>1035</v>
      </c>
      <c r="D105" s="23" t="n">
        <v>95</v>
      </c>
      <c r="E105" s="23" t="s">
        <v>895</v>
      </c>
      <c r="F105" s="23" t="n">
        <v>5222</v>
      </c>
      <c r="G105" s="23" t="n">
        <v>6</v>
      </c>
      <c r="H105" s="23" t="n">
        <v>1</v>
      </c>
      <c r="I105" s="23" t="n">
        <v>33</v>
      </c>
      <c r="J105" s="23" t="n">
        <v>0</v>
      </c>
      <c r="K105" s="23" t="n">
        <v>183</v>
      </c>
      <c r="L105" s="23" t="n">
        <v>9.33</v>
      </c>
      <c r="M105" s="23" t="s">
        <v>896</v>
      </c>
    </row>
    <row r="106" customFormat="false" ht="32.8" hidden="false" customHeight="false" outlineLevel="0" collapsed="false">
      <c r="A106" s="26" t="s">
        <v>333</v>
      </c>
      <c r="B106" s="26" t="s">
        <v>931</v>
      </c>
      <c r="C106" s="26" t="s">
        <v>1036</v>
      </c>
      <c r="D106" s="26" t="n">
        <v>95</v>
      </c>
      <c r="E106" s="26" t="s">
        <v>895</v>
      </c>
      <c r="F106" s="26" t="n">
        <v>4015</v>
      </c>
      <c r="G106" s="26" t="n">
        <v>5</v>
      </c>
      <c r="H106" s="26"/>
      <c r="I106" s="26"/>
      <c r="J106" s="26" t="n">
        <v>2</v>
      </c>
      <c r="K106" s="26" t="n">
        <v>60</v>
      </c>
      <c r="L106" s="26" t="n">
        <v>8.78</v>
      </c>
      <c r="M106" s="26" t="s">
        <v>896</v>
      </c>
    </row>
    <row r="107" customFormat="false" ht="32.8" hidden="false" customHeight="false" outlineLevel="0" collapsed="false">
      <c r="A107" s="23" t="s">
        <v>356</v>
      </c>
      <c r="B107" s="23" t="s">
        <v>931</v>
      </c>
      <c r="C107" s="23" t="s">
        <v>1037</v>
      </c>
      <c r="D107" s="23" t="n">
        <v>83</v>
      </c>
      <c r="E107" s="23" t="s">
        <v>895</v>
      </c>
      <c r="F107" s="23" t="n">
        <v>3308</v>
      </c>
      <c r="G107" s="23" t="n">
        <v>3</v>
      </c>
      <c r="H107" s="23"/>
      <c r="I107" s="23"/>
      <c r="J107" s="23" t="n">
        <v>1</v>
      </c>
      <c r="K107" s="23" t="n">
        <v>37</v>
      </c>
      <c r="L107" s="23" t="n">
        <v>5.97</v>
      </c>
      <c r="M107" s="23" t="s">
        <v>896</v>
      </c>
    </row>
    <row r="108" customFormat="false" ht="32.8" hidden="false" customHeight="false" outlineLevel="0" collapsed="false">
      <c r="A108" s="26" t="s">
        <v>406</v>
      </c>
      <c r="B108" s="26" t="s">
        <v>931</v>
      </c>
      <c r="C108" s="26" t="s">
        <v>1038</v>
      </c>
      <c r="D108" s="26" t="n">
        <v>71</v>
      </c>
      <c r="E108" s="26" t="s">
        <v>895</v>
      </c>
      <c r="F108" s="26" t="n">
        <v>3000</v>
      </c>
      <c r="G108" s="26" t="n">
        <v>4</v>
      </c>
      <c r="H108" s="26"/>
      <c r="I108" s="26"/>
      <c r="J108" s="26" t="n">
        <v>0</v>
      </c>
      <c r="K108" s="26" t="n">
        <v>57</v>
      </c>
      <c r="L108" s="26" t="n">
        <v>8.84</v>
      </c>
      <c r="M108" s="26" t="s">
        <v>896</v>
      </c>
    </row>
    <row r="109" customFormat="false" ht="32.8" hidden="false" customHeight="false" outlineLevel="0" collapsed="false">
      <c r="A109" s="23" t="s">
        <v>354</v>
      </c>
      <c r="B109" s="23" t="s">
        <v>931</v>
      </c>
      <c r="C109" s="23" t="s">
        <v>1039</v>
      </c>
      <c r="D109" s="23" t="n">
        <v>79</v>
      </c>
      <c r="E109" s="23" t="s">
        <v>895</v>
      </c>
      <c r="F109" s="23" t="n">
        <v>4933</v>
      </c>
      <c r="G109" s="23" t="n">
        <v>3</v>
      </c>
      <c r="H109" s="23"/>
      <c r="I109" s="23"/>
      <c r="J109" s="23" t="n">
        <v>1</v>
      </c>
      <c r="K109" s="23" t="n">
        <v>43</v>
      </c>
      <c r="L109" s="23" t="n">
        <v>6.49</v>
      </c>
      <c r="M109" s="23" t="s">
        <v>896</v>
      </c>
    </row>
    <row r="110" customFormat="false" ht="32.8" hidden="false" customHeight="false" outlineLevel="0" collapsed="false">
      <c r="A110" s="26" t="s">
        <v>361</v>
      </c>
      <c r="B110" s="26" t="s">
        <v>931</v>
      </c>
      <c r="C110" s="26" t="s">
        <v>1040</v>
      </c>
      <c r="D110" s="26" t="n">
        <v>84</v>
      </c>
      <c r="E110" s="26" t="s">
        <v>895</v>
      </c>
      <c r="F110" s="26" t="n">
        <v>3085</v>
      </c>
      <c r="G110" s="26" t="n">
        <v>4</v>
      </c>
      <c r="H110" s="26"/>
      <c r="I110" s="26"/>
      <c r="J110" s="26" t="n">
        <v>1</v>
      </c>
      <c r="K110" s="26" t="n">
        <v>25</v>
      </c>
      <c r="L110" s="26" t="n">
        <v>13.92</v>
      </c>
      <c r="M110" s="26" t="s">
        <v>896</v>
      </c>
    </row>
    <row r="111" customFormat="false" ht="32.8" hidden="false" customHeight="false" outlineLevel="0" collapsed="false">
      <c r="A111" s="23" t="s">
        <v>352</v>
      </c>
      <c r="B111" s="23" t="s">
        <v>931</v>
      </c>
      <c r="C111" s="23" t="s">
        <v>1041</v>
      </c>
      <c r="D111" s="23" t="n">
        <v>67</v>
      </c>
      <c r="E111" s="23" t="s">
        <v>895</v>
      </c>
      <c r="F111" s="23" t="n">
        <v>4931</v>
      </c>
      <c r="G111" s="23" t="n">
        <v>5</v>
      </c>
      <c r="H111" s="23"/>
      <c r="I111" s="23"/>
      <c r="J111" s="23" t="n">
        <v>1</v>
      </c>
      <c r="K111" s="23" t="n">
        <v>46</v>
      </c>
      <c r="L111" s="23" t="n">
        <v>12.2</v>
      </c>
      <c r="M111" s="23" t="s">
        <v>896</v>
      </c>
    </row>
    <row r="112" customFormat="false" ht="32.8" hidden="false" customHeight="false" outlineLevel="0" collapsed="false">
      <c r="A112" s="26" t="s">
        <v>376</v>
      </c>
      <c r="B112" s="26" t="s">
        <v>931</v>
      </c>
      <c r="C112" s="26" t="s">
        <v>1042</v>
      </c>
      <c r="D112" s="26" t="n">
        <v>92</v>
      </c>
      <c r="E112" s="26" t="s">
        <v>1043</v>
      </c>
      <c r="F112" s="26" t="n">
        <v>1423</v>
      </c>
      <c r="G112" s="26" t="n">
        <v>7</v>
      </c>
      <c r="H112" s="26" t="n">
        <v>1</v>
      </c>
      <c r="I112" s="26" t="n">
        <v>69</v>
      </c>
      <c r="J112" s="26" t="n">
        <v>0</v>
      </c>
      <c r="K112" s="26" t="n">
        <v>311</v>
      </c>
      <c r="L112" s="26" t="n">
        <v>37.39</v>
      </c>
      <c r="M112" s="26"/>
    </row>
    <row r="113" customFormat="false" ht="32.8" hidden="false" customHeight="false" outlineLevel="0" collapsed="false">
      <c r="A113" s="23" t="s">
        <v>403</v>
      </c>
      <c r="B113" s="23" t="s">
        <v>931</v>
      </c>
      <c r="C113" s="23" t="s">
        <v>1044</v>
      </c>
      <c r="D113" s="23" t="n">
        <v>75</v>
      </c>
      <c r="E113" s="23" t="s">
        <v>1045</v>
      </c>
      <c r="F113" s="23" t="n">
        <v>1176</v>
      </c>
      <c r="G113" s="23" t="n">
        <v>4</v>
      </c>
      <c r="H113" s="23"/>
      <c r="I113" s="23"/>
      <c r="J113" s="23" t="n">
        <v>0</v>
      </c>
      <c r="K113" s="23" t="n">
        <v>61</v>
      </c>
      <c r="L113" s="23" t="n">
        <v>11.11</v>
      </c>
      <c r="M113" s="23"/>
    </row>
    <row r="114" customFormat="false" ht="32.8" hidden="false" customHeight="false" outlineLevel="0" collapsed="false">
      <c r="A114" s="26" t="s">
        <v>448</v>
      </c>
      <c r="B114" s="26" t="s">
        <v>931</v>
      </c>
      <c r="C114" s="26" t="s">
        <v>1046</v>
      </c>
      <c r="D114" s="26" t="n">
        <v>85</v>
      </c>
      <c r="E114" s="26" t="s">
        <v>1047</v>
      </c>
      <c r="F114" s="26" t="n">
        <v>1008</v>
      </c>
      <c r="G114" s="26" t="n">
        <v>6</v>
      </c>
      <c r="H114" s="26"/>
      <c r="I114" s="26"/>
      <c r="J114" s="26" t="n">
        <v>0</v>
      </c>
      <c r="K114" s="26" t="n">
        <v>6</v>
      </c>
      <c r="L114" s="26" t="n">
        <v>6.33</v>
      </c>
      <c r="M114" s="26"/>
    </row>
    <row r="115" customFormat="false" ht="32.8" hidden="false" customHeight="false" outlineLevel="0" collapsed="false">
      <c r="A115" s="23" t="s">
        <v>1048</v>
      </c>
      <c r="B115" s="23" t="s">
        <v>931</v>
      </c>
      <c r="C115" s="23" t="s">
        <v>1049</v>
      </c>
      <c r="D115" s="23" t="n">
        <v>49</v>
      </c>
      <c r="E115" s="23" t="s">
        <v>895</v>
      </c>
      <c r="F115" s="23" t="n">
        <v>498</v>
      </c>
      <c r="G115" s="23" t="n">
        <v>1</v>
      </c>
      <c r="H115" s="23"/>
      <c r="I115" s="23"/>
      <c r="J115" s="23"/>
      <c r="K115" s="23"/>
      <c r="L115" s="23"/>
      <c r="M115" s="23" t="s">
        <v>992</v>
      </c>
    </row>
    <row r="116" customFormat="false" ht="32.8" hidden="false" customHeight="false" outlineLevel="0" collapsed="false">
      <c r="A116" s="26" t="s">
        <v>453</v>
      </c>
      <c r="B116" s="26" t="s">
        <v>931</v>
      </c>
      <c r="C116" s="26" t="s">
        <v>1050</v>
      </c>
      <c r="D116" s="26" t="n">
        <v>64</v>
      </c>
      <c r="E116" s="26" t="s">
        <v>895</v>
      </c>
      <c r="F116" s="26" t="n">
        <v>440</v>
      </c>
      <c r="G116" s="26" t="n">
        <v>1</v>
      </c>
      <c r="H116" s="26"/>
      <c r="I116" s="26"/>
      <c r="J116" s="26" t="n">
        <v>0</v>
      </c>
      <c r="K116" s="26" t="n">
        <v>5</v>
      </c>
      <c r="L116" s="26" t="n">
        <v>13.6</v>
      </c>
      <c r="M116" s="26" t="s">
        <v>992</v>
      </c>
    </row>
    <row r="117" customFormat="false" ht="32.8" hidden="false" customHeight="false" outlineLevel="0" collapsed="false">
      <c r="A117" s="23" t="s">
        <v>458</v>
      </c>
      <c r="B117" s="23" t="s">
        <v>931</v>
      </c>
      <c r="C117" s="23" t="s">
        <v>1051</v>
      </c>
      <c r="D117" s="23" t="n">
        <v>87</v>
      </c>
      <c r="E117" s="23" t="s">
        <v>895</v>
      </c>
      <c r="F117" s="23" t="n">
        <v>520</v>
      </c>
      <c r="G117" s="23" t="n">
        <v>2</v>
      </c>
      <c r="H117" s="23"/>
      <c r="I117" s="23"/>
      <c r="J117" s="23" t="n">
        <v>0</v>
      </c>
      <c r="K117" s="23" t="n">
        <v>3</v>
      </c>
      <c r="L117" s="23" t="n">
        <v>11.67</v>
      </c>
      <c r="M117" s="23" t="s">
        <v>936</v>
      </c>
    </row>
    <row r="118" customFormat="false" ht="32.8" hidden="false" customHeight="false" outlineLevel="0" collapsed="false">
      <c r="A118" s="26" t="s">
        <v>423</v>
      </c>
      <c r="B118" s="26" t="s">
        <v>931</v>
      </c>
      <c r="C118" s="26" t="s">
        <v>1052</v>
      </c>
      <c r="D118" s="26" t="n">
        <v>76</v>
      </c>
      <c r="E118" s="26" t="s">
        <v>1053</v>
      </c>
      <c r="F118" s="26" t="n">
        <v>981</v>
      </c>
      <c r="G118" s="26" t="n">
        <v>3</v>
      </c>
      <c r="H118" s="26"/>
      <c r="I118" s="26"/>
      <c r="J118" s="26" t="n">
        <v>0</v>
      </c>
      <c r="K118" s="26" t="n">
        <v>21</v>
      </c>
      <c r="L118" s="26" t="n">
        <v>21.76</v>
      </c>
      <c r="M118" s="26"/>
    </row>
    <row r="119" customFormat="false" ht="32.8" hidden="false" customHeight="false" outlineLevel="0" collapsed="false">
      <c r="A119" s="23" t="s">
        <v>358</v>
      </c>
      <c r="B119" s="23" t="s">
        <v>931</v>
      </c>
      <c r="C119" s="23" t="s">
        <v>1054</v>
      </c>
      <c r="D119" s="23" t="n">
        <v>71</v>
      </c>
      <c r="E119" s="23" t="s">
        <v>1055</v>
      </c>
      <c r="F119" s="23" t="n">
        <v>1038</v>
      </c>
      <c r="G119" s="23" t="n">
        <v>25</v>
      </c>
      <c r="H119" s="23"/>
      <c r="I119" s="23"/>
      <c r="J119" s="23" t="n">
        <v>1</v>
      </c>
      <c r="K119" s="23" t="n">
        <v>34</v>
      </c>
      <c r="L119" s="23" t="n">
        <v>15.41</v>
      </c>
      <c r="M119" s="23"/>
    </row>
    <row r="120" customFormat="false" ht="32.8" hidden="false" customHeight="false" outlineLevel="0" collapsed="false">
      <c r="A120" s="26" t="s">
        <v>452</v>
      </c>
      <c r="B120" s="26" t="s">
        <v>931</v>
      </c>
      <c r="C120" s="26" t="s">
        <v>1056</v>
      </c>
      <c r="D120" s="26" t="n">
        <v>27</v>
      </c>
      <c r="E120" s="26" t="s">
        <v>895</v>
      </c>
      <c r="F120" s="26" t="n">
        <v>267</v>
      </c>
      <c r="G120" s="26" t="n">
        <v>1</v>
      </c>
      <c r="H120" s="26"/>
      <c r="I120" s="26"/>
      <c r="J120" s="26" t="n">
        <v>0</v>
      </c>
      <c r="K120" s="26" t="n">
        <v>5</v>
      </c>
      <c r="L120" s="26" t="n">
        <v>8.4</v>
      </c>
      <c r="M120" s="26" t="s">
        <v>992</v>
      </c>
    </row>
    <row r="121" customFormat="false" ht="32.8" hidden="false" customHeight="false" outlineLevel="0" collapsed="false">
      <c r="A121" s="23" t="s">
        <v>366</v>
      </c>
      <c r="B121" s="23" t="s">
        <v>931</v>
      </c>
      <c r="C121" s="23" t="s">
        <v>1057</v>
      </c>
      <c r="D121" s="23" t="n">
        <v>57</v>
      </c>
      <c r="E121" s="23" t="s">
        <v>1058</v>
      </c>
      <c r="F121" s="23" t="n">
        <v>497</v>
      </c>
      <c r="G121" s="23" t="n">
        <v>1</v>
      </c>
      <c r="H121" s="23"/>
      <c r="I121" s="23"/>
      <c r="J121" s="23" t="n">
        <v>1</v>
      </c>
      <c r="K121" s="23" t="n">
        <v>6</v>
      </c>
      <c r="L121" s="23" t="n">
        <v>3.83</v>
      </c>
      <c r="M121" s="23" t="s">
        <v>977</v>
      </c>
    </row>
    <row r="122" customFormat="false" ht="32.8" hidden="false" customHeight="false" outlineLevel="0" collapsed="false">
      <c r="A122" s="26" t="s">
        <v>419</v>
      </c>
      <c r="B122" s="26" t="s">
        <v>931</v>
      </c>
      <c r="C122" s="26" t="s">
        <v>1059</v>
      </c>
      <c r="D122" s="26" t="n">
        <v>74</v>
      </c>
      <c r="E122" s="26" t="s">
        <v>895</v>
      </c>
      <c r="F122" s="26" t="n">
        <v>2471</v>
      </c>
      <c r="G122" s="26" t="n">
        <v>3</v>
      </c>
      <c r="H122" s="26"/>
      <c r="I122" s="26"/>
      <c r="J122" s="26" t="n">
        <v>0</v>
      </c>
      <c r="K122" s="26" t="n">
        <v>26</v>
      </c>
      <c r="L122" s="26" t="n">
        <v>10.23</v>
      </c>
      <c r="M122" s="26" t="s">
        <v>896</v>
      </c>
    </row>
    <row r="123" customFormat="false" ht="32.8" hidden="false" customHeight="false" outlineLevel="0" collapsed="false">
      <c r="A123" s="23" t="s">
        <v>381</v>
      </c>
      <c r="B123" s="23" t="s">
        <v>931</v>
      </c>
      <c r="C123" s="23" t="s">
        <v>1060</v>
      </c>
      <c r="D123" s="23" t="n">
        <v>86</v>
      </c>
      <c r="E123" s="23" t="s">
        <v>895</v>
      </c>
      <c r="F123" s="23" t="n">
        <v>6372</v>
      </c>
      <c r="G123" s="23" t="n">
        <v>3</v>
      </c>
      <c r="H123" s="23" t="n">
        <v>1</v>
      </c>
      <c r="I123" s="23" t="n">
        <v>22</v>
      </c>
      <c r="J123" s="23" t="n">
        <v>0</v>
      </c>
      <c r="K123" s="23" t="n">
        <v>190</v>
      </c>
      <c r="L123" s="23" t="n">
        <v>11.25</v>
      </c>
      <c r="M123" s="23" t="s">
        <v>896</v>
      </c>
    </row>
    <row r="124" customFormat="false" ht="32.8" hidden="false" customHeight="false" outlineLevel="0" collapsed="false">
      <c r="A124" s="26" t="s">
        <v>386</v>
      </c>
      <c r="B124" s="26" t="s">
        <v>931</v>
      </c>
      <c r="C124" s="26" t="s">
        <v>1061</v>
      </c>
      <c r="D124" s="26" t="n">
        <v>93</v>
      </c>
      <c r="E124" s="26" t="s">
        <v>895</v>
      </c>
      <c r="F124" s="26" t="n">
        <v>8412</v>
      </c>
      <c r="G124" s="26" t="n">
        <v>3</v>
      </c>
      <c r="H124" s="26" t="n">
        <v>1</v>
      </c>
      <c r="I124" s="26" t="n">
        <v>11</v>
      </c>
      <c r="J124" s="26" t="n">
        <v>0</v>
      </c>
      <c r="K124" s="26" t="n">
        <v>147</v>
      </c>
      <c r="L124" s="26" t="n">
        <v>10.3</v>
      </c>
      <c r="M124" s="26" t="s">
        <v>896</v>
      </c>
    </row>
    <row r="125" customFormat="false" ht="32.8" hidden="false" customHeight="false" outlineLevel="0" collapsed="false">
      <c r="A125" s="23" t="s">
        <v>362</v>
      </c>
      <c r="B125" s="23" t="s">
        <v>931</v>
      </c>
      <c r="C125" s="23" t="s">
        <v>1062</v>
      </c>
      <c r="D125" s="23" t="n">
        <v>64</v>
      </c>
      <c r="E125" s="23" t="s">
        <v>895</v>
      </c>
      <c r="F125" s="23" t="n">
        <v>504</v>
      </c>
      <c r="G125" s="23" t="n">
        <v>1</v>
      </c>
      <c r="H125" s="23"/>
      <c r="I125" s="23"/>
      <c r="J125" s="23" t="n">
        <v>1</v>
      </c>
      <c r="K125" s="23" t="n">
        <v>18</v>
      </c>
      <c r="L125" s="23" t="n">
        <v>5</v>
      </c>
      <c r="M125" s="23" t="s">
        <v>992</v>
      </c>
    </row>
    <row r="126" customFormat="false" ht="32.8" hidden="false" customHeight="false" outlineLevel="0" collapsed="false">
      <c r="A126" s="26" t="s">
        <v>435</v>
      </c>
      <c r="B126" s="26" t="s">
        <v>931</v>
      </c>
      <c r="C126" s="26" t="s">
        <v>1063</v>
      </c>
      <c r="D126" s="26" t="n">
        <v>57</v>
      </c>
      <c r="E126" s="26" t="s">
        <v>895</v>
      </c>
      <c r="F126" s="26" t="n">
        <v>1368</v>
      </c>
      <c r="G126" s="26" t="n">
        <v>3</v>
      </c>
      <c r="H126" s="26"/>
      <c r="I126" s="26"/>
      <c r="J126" s="26" t="n">
        <v>0</v>
      </c>
      <c r="K126" s="26" t="n">
        <v>10</v>
      </c>
      <c r="L126" s="26" t="n">
        <v>5.4</v>
      </c>
      <c r="M126" s="26" t="s">
        <v>896</v>
      </c>
    </row>
    <row r="127" customFormat="false" ht="32.8" hidden="false" customHeight="false" outlineLevel="0" collapsed="false">
      <c r="A127" s="23" t="s">
        <v>388</v>
      </c>
      <c r="B127" s="23" t="s">
        <v>931</v>
      </c>
      <c r="C127" s="23" t="s">
        <v>1064</v>
      </c>
      <c r="D127" s="23" t="n">
        <v>82</v>
      </c>
      <c r="E127" s="23" t="s">
        <v>1065</v>
      </c>
      <c r="F127" s="23" t="n">
        <v>1082</v>
      </c>
      <c r="G127" s="23" t="n">
        <v>7</v>
      </c>
      <c r="H127" s="23" t="n">
        <v>1</v>
      </c>
      <c r="I127" s="23" t="n">
        <v>64</v>
      </c>
      <c r="J127" s="23" t="n">
        <v>0</v>
      </c>
      <c r="K127" s="23" t="n">
        <v>138</v>
      </c>
      <c r="L127" s="23" t="n">
        <v>15.8</v>
      </c>
      <c r="M127" s="23"/>
    </row>
    <row r="128" customFormat="false" ht="32.8" hidden="false" customHeight="false" outlineLevel="0" collapsed="false">
      <c r="A128" s="26" t="s">
        <v>364</v>
      </c>
      <c r="B128" s="26" t="s">
        <v>931</v>
      </c>
      <c r="C128" s="26" t="s">
        <v>1066</v>
      </c>
      <c r="D128" s="26" t="n">
        <v>49</v>
      </c>
      <c r="E128" s="26" t="s">
        <v>895</v>
      </c>
      <c r="F128" s="26" t="n">
        <v>438</v>
      </c>
      <c r="G128" s="26" t="n">
        <v>3</v>
      </c>
      <c r="H128" s="26"/>
      <c r="I128" s="26"/>
      <c r="J128" s="26" t="n">
        <v>1</v>
      </c>
      <c r="K128" s="26" t="n">
        <v>12</v>
      </c>
      <c r="L128" s="26" t="n">
        <v>5.25</v>
      </c>
      <c r="M128" s="26" t="s">
        <v>936</v>
      </c>
    </row>
    <row r="129" customFormat="false" ht="32.8" hidden="false" customHeight="false" outlineLevel="0" collapsed="false">
      <c r="A129" s="23" t="s">
        <v>404</v>
      </c>
      <c r="B129" s="23" t="s">
        <v>931</v>
      </c>
      <c r="C129" s="23" t="s">
        <v>1067</v>
      </c>
      <c r="D129" s="23" t="n">
        <v>39</v>
      </c>
      <c r="E129" s="23" t="s">
        <v>895</v>
      </c>
      <c r="F129" s="23" t="n">
        <v>535</v>
      </c>
      <c r="G129" s="23" t="n">
        <v>3</v>
      </c>
      <c r="H129" s="23"/>
      <c r="I129" s="23"/>
      <c r="J129" s="23" t="n">
        <v>0</v>
      </c>
      <c r="K129" s="23" t="n">
        <v>59</v>
      </c>
      <c r="L129" s="23" t="n">
        <v>9.78</v>
      </c>
      <c r="M129" s="23" t="s">
        <v>936</v>
      </c>
    </row>
    <row r="130" customFormat="false" ht="32.8" hidden="false" customHeight="false" outlineLevel="0" collapsed="false">
      <c r="A130" s="26" t="s">
        <v>454</v>
      </c>
      <c r="B130" s="26" t="s">
        <v>931</v>
      </c>
      <c r="C130" s="26" t="s">
        <v>1068</v>
      </c>
      <c r="D130" s="26" t="n">
        <v>77</v>
      </c>
      <c r="E130" s="26" t="s">
        <v>895</v>
      </c>
      <c r="F130" s="26" t="n">
        <v>466</v>
      </c>
      <c r="G130" s="26" t="n">
        <v>1</v>
      </c>
      <c r="H130" s="26"/>
      <c r="I130" s="26"/>
      <c r="J130" s="26" t="n">
        <v>0</v>
      </c>
      <c r="K130" s="26" t="n">
        <v>4</v>
      </c>
      <c r="L130" s="26" t="n">
        <v>6</v>
      </c>
      <c r="M130" s="26" t="s">
        <v>992</v>
      </c>
    </row>
    <row r="131" customFormat="false" ht="32.8" hidden="false" customHeight="false" outlineLevel="0" collapsed="false">
      <c r="A131" s="23" t="s">
        <v>447</v>
      </c>
      <c r="B131" s="23" t="s">
        <v>931</v>
      </c>
      <c r="C131" s="23" t="s">
        <v>1069</v>
      </c>
      <c r="D131" s="23" t="n">
        <v>72</v>
      </c>
      <c r="E131" s="23" t="s">
        <v>895</v>
      </c>
      <c r="F131" s="23" t="n">
        <v>596</v>
      </c>
      <c r="G131" s="23" t="n">
        <v>1</v>
      </c>
      <c r="H131" s="23"/>
      <c r="I131" s="23"/>
      <c r="J131" s="23" t="n">
        <v>0</v>
      </c>
      <c r="K131" s="23" t="n">
        <v>6</v>
      </c>
      <c r="L131" s="23" t="n">
        <v>5.33</v>
      </c>
      <c r="M131" s="23" t="s">
        <v>992</v>
      </c>
    </row>
    <row r="132" customFormat="false" ht="32.8" hidden="false" customHeight="false" outlineLevel="0" collapsed="false">
      <c r="A132" s="26" t="s">
        <v>322</v>
      </c>
      <c r="B132" s="26" t="s">
        <v>931</v>
      </c>
      <c r="C132" s="26" t="s">
        <v>1070</v>
      </c>
      <c r="D132" s="26" t="n">
        <v>77</v>
      </c>
      <c r="E132" s="26" t="s">
        <v>1071</v>
      </c>
      <c r="F132" s="26" t="n">
        <v>863</v>
      </c>
      <c r="G132" s="26" t="n">
        <v>8</v>
      </c>
      <c r="H132" s="26" t="n">
        <v>1</v>
      </c>
      <c r="I132" s="26" t="n">
        <v>2</v>
      </c>
      <c r="J132" s="26" t="n">
        <v>3</v>
      </c>
      <c r="K132" s="26" t="n">
        <v>715</v>
      </c>
      <c r="L132" s="26" t="n">
        <v>7.57</v>
      </c>
      <c r="M132" s="26"/>
    </row>
    <row r="133" customFormat="false" ht="32.8" hidden="false" customHeight="false" outlineLevel="0" collapsed="false">
      <c r="A133" s="23" t="s">
        <v>421</v>
      </c>
      <c r="B133" s="23" t="s">
        <v>931</v>
      </c>
      <c r="C133" s="23" t="s">
        <v>1072</v>
      </c>
      <c r="D133" s="23" t="n">
        <v>53</v>
      </c>
      <c r="E133" s="23" t="s">
        <v>895</v>
      </c>
      <c r="F133" s="23" t="n">
        <v>467</v>
      </c>
      <c r="G133" s="23" t="n">
        <v>3</v>
      </c>
      <c r="H133" s="23"/>
      <c r="I133" s="23"/>
      <c r="J133" s="23" t="n">
        <v>0</v>
      </c>
      <c r="K133" s="23" t="n">
        <v>24</v>
      </c>
      <c r="L133" s="23" t="n">
        <v>13.67</v>
      </c>
      <c r="M133" s="23" t="s">
        <v>936</v>
      </c>
    </row>
    <row r="134" customFormat="false" ht="32.8" hidden="false" customHeight="false" outlineLevel="0" collapsed="false">
      <c r="A134" s="26" t="s">
        <v>418</v>
      </c>
      <c r="B134" s="26" t="s">
        <v>931</v>
      </c>
      <c r="C134" s="26" t="s">
        <v>1073</v>
      </c>
      <c r="D134" s="26" t="n">
        <v>57</v>
      </c>
      <c r="E134" s="26" t="s">
        <v>895</v>
      </c>
      <c r="F134" s="26" t="n">
        <v>543</v>
      </c>
      <c r="G134" s="26" t="n">
        <v>4</v>
      </c>
      <c r="H134" s="26"/>
      <c r="I134" s="26"/>
      <c r="J134" s="26" t="n">
        <v>0</v>
      </c>
      <c r="K134" s="26" t="n">
        <v>26</v>
      </c>
      <c r="L134" s="26" t="n">
        <v>6.62</v>
      </c>
      <c r="M134" s="26" t="s">
        <v>936</v>
      </c>
    </row>
    <row r="135" customFormat="false" ht="32.8" hidden="false" customHeight="false" outlineLevel="0" collapsed="false">
      <c r="A135" s="23" t="s">
        <v>434</v>
      </c>
      <c r="B135" s="23" t="s">
        <v>931</v>
      </c>
      <c r="C135" s="23" t="s">
        <v>1074</v>
      </c>
      <c r="D135" s="23" t="n">
        <v>82</v>
      </c>
      <c r="E135" s="23" t="s">
        <v>1075</v>
      </c>
      <c r="F135" s="23" t="n">
        <v>1088</v>
      </c>
      <c r="G135" s="23" t="n">
        <v>3</v>
      </c>
      <c r="H135" s="23"/>
      <c r="I135" s="23"/>
      <c r="J135" s="23" t="n">
        <v>0</v>
      </c>
      <c r="K135" s="23" t="n">
        <v>11</v>
      </c>
      <c r="L135" s="23" t="n">
        <v>12.55</v>
      </c>
      <c r="M135" s="23"/>
    </row>
    <row r="136" customFormat="false" ht="32.8" hidden="false" customHeight="false" outlineLevel="0" collapsed="false">
      <c r="A136" s="26" t="s">
        <v>1076</v>
      </c>
      <c r="B136" s="26" t="s">
        <v>931</v>
      </c>
      <c r="C136" s="26" t="s">
        <v>1074</v>
      </c>
      <c r="D136" s="26" t="n">
        <v>82</v>
      </c>
      <c r="E136" s="26" t="s">
        <v>895</v>
      </c>
      <c r="F136" s="26" t="n">
        <v>278</v>
      </c>
      <c r="G136" s="26" t="n">
        <v>1</v>
      </c>
      <c r="H136" s="26"/>
      <c r="I136" s="26"/>
      <c r="J136" s="26"/>
      <c r="K136" s="26"/>
      <c r="L136" s="26"/>
      <c r="M136" s="26" t="s">
        <v>992</v>
      </c>
    </row>
    <row r="137" customFormat="false" ht="32.8" hidden="false" customHeight="false" outlineLevel="0" collapsed="false">
      <c r="A137" s="23" t="s">
        <v>442</v>
      </c>
      <c r="B137" s="23" t="s">
        <v>931</v>
      </c>
      <c r="C137" s="23" t="s">
        <v>1077</v>
      </c>
      <c r="D137" s="23" t="n">
        <v>83</v>
      </c>
      <c r="E137" s="23" t="s">
        <v>1078</v>
      </c>
      <c r="F137" s="23" t="n">
        <v>1188</v>
      </c>
      <c r="G137" s="23" t="n">
        <v>8</v>
      </c>
      <c r="H137" s="23"/>
      <c r="I137" s="23"/>
      <c r="J137" s="23" t="n">
        <v>0</v>
      </c>
      <c r="K137" s="23" t="n">
        <v>8</v>
      </c>
      <c r="L137" s="23" t="n">
        <v>9.25</v>
      </c>
      <c r="M137" s="23"/>
    </row>
    <row r="138" customFormat="false" ht="32.8" hidden="false" customHeight="false" outlineLevel="0" collapsed="false">
      <c r="A138" s="26" t="s">
        <v>443</v>
      </c>
      <c r="B138" s="26" t="s">
        <v>931</v>
      </c>
      <c r="C138" s="26" t="s">
        <v>1079</v>
      </c>
      <c r="D138" s="26" t="n">
        <v>71</v>
      </c>
      <c r="E138" s="26" t="s">
        <v>895</v>
      </c>
      <c r="F138" s="26" t="n">
        <v>571</v>
      </c>
      <c r="G138" s="26" t="n">
        <v>3</v>
      </c>
      <c r="H138" s="26"/>
      <c r="I138" s="26"/>
      <c r="J138" s="26" t="n">
        <v>0</v>
      </c>
      <c r="K138" s="26" t="n">
        <v>8</v>
      </c>
      <c r="L138" s="26" t="n">
        <v>10.62</v>
      </c>
      <c r="M138" s="26" t="s">
        <v>936</v>
      </c>
    </row>
    <row r="139" customFormat="false" ht="32.8" hidden="false" customHeight="false" outlineLevel="0" collapsed="false">
      <c r="A139" s="23" t="s">
        <v>375</v>
      </c>
      <c r="B139" s="23" t="s">
        <v>931</v>
      </c>
      <c r="C139" s="23" t="s">
        <v>1080</v>
      </c>
      <c r="D139" s="23" t="n">
        <v>92</v>
      </c>
      <c r="E139" s="23" t="s">
        <v>1081</v>
      </c>
      <c r="F139" s="23" t="n">
        <v>767</v>
      </c>
      <c r="G139" s="23" t="n">
        <v>10</v>
      </c>
      <c r="H139" s="23"/>
      <c r="I139" s="23"/>
      <c r="J139" s="23" t="n">
        <v>0</v>
      </c>
      <c r="K139" s="23" t="n">
        <v>316</v>
      </c>
      <c r="L139" s="23" t="n">
        <v>13.31</v>
      </c>
      <c r="M139" s="23"/>
    </row>
    <row r="140" customFormat="false" ht="32.8" hidden="false" customHeight="false" outlineLevel="0" collapsed="false">
      <c r="A140" s="26" t="s">
        <v>1082</v>
      </c>
      <c r="B140" s="26" t="s">
        <v>931</v>
      </c>
      <c r="C140" s="26" t="s">
        <v>1083</v>
      </c>
      <c r="D140" s="26" t="n">
        <v>82</v>
      </c>
      <c r="E140" s="26" t="s">
        <v>895</v>
      </c>
      <c r="F140" s="26" t="n">
        <v>4346</v>
      </c>
      <c r="G140" s="26" t="n">
        <v>7</v>
      </c>
      <c r="H140" s="26"/>
      <c r="I140" s="26"/>
      <c r="J140" s="26"/>
      <c r="K140" s="26"/>
      <c r="L140" s="26"/>
      <c r="M140" s="26" t="s">
        <v>896</v>
      </c>
    </row>
    <row r="141" customFormat="false" ht="32.8" hidden="false" customHeight="false" outlineLevel="0" collapsed="false">
      <c r="A141" s="23" t="s">
        <v>1084</v>
      </c>
      <c r="B141" s="23" t="s">
        <v>931</v>
      </c>
      <c r="C141" s="23" t="s">
        <v>1085</v>
      </c>
      <c r="D141" s="23" t="n">
        <v>92</v>
      </c>
      <c r="E141" s="23" t="s">
        <v>895</v>
      </c>
      <c r="F141" s="23" t="n">
        <v>425</v>
      </c>
      <c r="G141" s="23" t="n">
        <v>2</v>
      </c>
      <c r="H141" s="23"/>
      <c r="I141" s="23"/>
      <c r="J141" s="23"/>
      <c r="K141" s="23"/>
      <c r="L141" s="23"/>
      <c r="M141" s="23" t="s">
        <v>936</v>
      </c>
    </row>
    <row r="142" customFormat="false" ht="32.8" hidden="false" customHeight="false" outlineLevel="0" collapsed="false">
      <c r="A142" s="26" t="s">
        <v>416</v>
      </c>
      <c r="B142" s="26" t="s">
        <v>931</v>
      </c>
      <c r="C142" s="26" t="s">
        <v>1086</v>
      </c>
      <c r="D142" s="26" t="n">
        <v>83</v>
      </c>
      <c r="E142" s="26" t="s">
        <v>1087</v>
      </c>
      <c r="F142" s="26" t="n">
        <v>1054</v>
      </c>
      <c r="G142" s="26" t="n">
        <v>8</v>
      </c>
      <c r="H142" s="26"/>
      <c r="I142" s="26"/>
      <c r="J142" s="26" t="n">
        <v>0</v>
      </c>
      <c r="K142" s="26" t="n">
        <v>30</v>
      </c>
      <c r="L142" s="26" t="n">
        <v>14.17</v>
      </c>
      <c r="M142" s="26"/>
    </row>
    <row r="143" customFormat="false" ht="32.8" hidden="false" customHeight="false" outlineLevel="0" collapsed="false">
      <c r="A143" s="23" t="s">
        <v>415</v>
      </c>
      <c r="B143" s="23" t="s">
        <v>931</v>
      </c>
      <c r="C143" s="23" t="s">
        <v>1088</v>
      </c>
      <c r="D143" s="23" t="n">
        <v>95</v>
      </c>
      <c r="E143" s="23" t="s">
        <v>1089</v>
      </c>
      <c r="F143" s="23" t="n">
        <v>969</v>
      </c>
      <c r="G143" s="23" t="n">
        <v>4</v>
      </c>
      <c r="H143" s="23"/>
      <c r="I143" s="23"/>
      <c r="J143" s="23" t="n">
        <v>0</v>
      </c>
      <c r="K143" s="23" t="n">
        <v>30</v>
      </c>
      <c r="L143" s="23" t="n">
        <v>9.03</v>
      </c>
      <c r="M143" s="23"/>
    </row>
    <row r="144" customFormat="false" ht="32.8" hidden="false" customHeight="false" outlineLevel="0" collapsed="false">
      <c r="A144" s="26" t="s">
        <v>431</v>
      </c>
      <c r="B144" s="26" t="s">
        <v>931</v>
      </c>
      <c r="C144" s="26" t="s">
        <v>1090</v>
      </c>
      <c r="D144" s="26" t="n">
        <v>37</v>
      </c>
      <c r="E144" s="26" t="s">
        <v>1091</v>
      </c>
      <c r="F144" s="26" t="n">
        <v>1018</v>
      </c>
      <c r="G144" s="26" t="n">
        <v>10</v>
      </c>
      <c r="H144" s="26"/>
      <c r="I144" s="26"/>
      <c r="J144" s="26" t="n">
        <v>0</v>
      </c>
      <c r="K144" s="26" t="n">
        <v>13</v>
      </c>
      <c r="L144" s="26" t="n">
        <v>11.85</v>
      </c>
      <c r="M144" s="26"/>
    </row>
    <row r="145" customFormat="false" ht="32.8" hidden="false" customHeight="false" outlineLevel="0" collapsed="false">
      <c r="A145" s="23" t="s">
        <v>449</v>
      </c>
      <c r="B145" s="23" t="s">
        <v>931</v>
      </c>
      <c r="C145" s="23" t="s">
        <v>1092</v>
      </c>
      <c r="D145" s="23" t="n">
        <v>77</v>
      </c>
      <c r="E145" s="23" t="s">
        <v>1093</v>
      </c>
      <c r="F145" s="23" t="n">
        <v>777</v>
      </c>
      <c r="G145" s="23" t="n">
        <v>7</v>
      </c>
      <c r="H145" s="23"/>
      <c r="I145" s="23"/>
      <c r="J145" s="23" t="n">
        <v>0</v>
      </c>
      <c r="K145" s="23" t="n">
        <v>6</v>
      </c>
      <c r="L145" s="23" t="n">
        <v>24.5</v>
      </c>
      <c r="M145" s="23"/>
    </row>
    <row r="146" customFormat="false" ht="32.8" hidden="false" customHeight="false" outlineLevel="0" collapsed="false">
      <c r="A146" s="26" t="s">
        <v>428</v>
      </c>
      <c r="B146" s="26" t="s">
        <v>931</v>
      </c>
      <c r="C146" s="26" t="s">
        <v>1094</v>
      </c>
      <c r="D146" s="26" t="n">
        <v>85</v>
      </c>
      <c r="E146" s="26" t="s">
        <v>1095</v>
      </c>
      <c r="F146" s="26" t="n">
        <v>639</v>
      </c>
      <c r="G146" s="26" t="n">
        <v>5</v>
      </c>
      <c r="H146" s="26"/>
      <c r="I146" s="26"/>
      <c r="J146" s="26" t="n">
        <v>0</v>
      </c>
      <c r="K146" s="26" t="n">
        <v>17</v>
      </c>
      <c r="L146" s="26" t="n">
        <v>13.71</v>
      </c>
      <c r="M146" s="26"/>
    </row>
    <row r="147" customFormat="false" ht="32.8" hidden="false" customHeight="false" outlineLevel="0" collapsed="false">
      <c r="A147" s="23" t="s">
        <v>429</v>
      </c>
      <c r="B147" s="23" t="s">
        <v>931</v>
      </c>
      <c r="C147" s="23" t="s">
        <v>1096</v>
      </c>
      <c r="D147" s="23" t="n">
        <v>79</v>
      </c>
      <c r="E147" s="23" t="s">
        <v>895</v>
      </c>
      <c r="F147" s="23" t="n">
        <v>1361</v>
      </c>
      <c r="G147" s="23" t="n">
        <v>3</v>
      </c>
      <c r="H147" s="23"/>
      <c r="I147" s="23"/>
      <c r="J147" s="23" t="n">
        <v>0</v>
      </c>
      <c r="K147" s="23" t="n">
        <v>15</v>
      </c>
      <c r="L147" s="23" t="n">
        <v>8.6</v>
      </c>
      <c r="M147" s="23" t="s">
        <v>896</v>
      </c>
    </row>
    <row r="148" customFormat="false" ht="32.8" hidden="false" customHeight="false" outlineLevel="0" collapsed="false">
      <c r="A148" s="26" t="s">
        <v>437</v>
      </c>
      <c r="B148" s="26" t="s">
        <v>931</v>
      </c>
      <c r="C148" s="26" t="s">
        <v>1097</v>
      </c>
      <c r="D148" s="26" t="n">
        <v>38</v>
      </c>
      <c r="E148" s="26" t="s">
        <v>1098</v>
      </c>
      <c r="F148" s="26" t="n">
        <v>1460</v>
      </c>
      <c r="G148" s="26" t="n">
        <v>7</v>
      </c>
      <c r="H148" s="26"/>
      <c r="I148" s="26"/>
      <c r="J148" s="26" t="n">
        <v>0</v>
      </c>
      <c r="K148" s="26" t="n">
        <v>10</v>
      </c>
      <c r="L148" s="26" t="n">
        <v>9</v>
      </c>
      <c r="M148" s="26"/>
    </row>
    <row r="149" customFormat="false" ht="32.8" hidden="false" customHeight="false" outlineLevel="0" collapsed="false">
      <c r="A149" s="23" t="s">
        <v>319</v>
      </c>
      <c r="B149" s="23" t="s">
        <v>1099</v>
      </c>
      <c r="C149" s="23" t="s">
        <v>1100</v>
      </c>
      <c r="D149" s="23" t="n">
        <v>62</v>
      </c>
      <c r="E149" s="23" t="s">
        <v>1101</v>
      </c>
      <c r="F149" s="23" t="n">
        <v>427</v>
      </c>
      <c r="G149" s="23" t="n">
        <v>3</v>
      </c>
      <c r="H149" s="23" t="n">
        <v>1</v>
      </c>
      <c r="I149" s="23" t="n">
        <v>61</v>
      </c>
      <c r="J149" s="23" t="n">
        <v>3</v>
      </c>
      <c r="K149" s="23" t="n">
        <v>1541</v>
      </c>
      <c r="L149" s="23" t="n">
        <v>3.3</v>
      </c>
      <c r="M149" s="23"/>
    </row>
    <row r="150" customFormat="false" ht="32.8" hidden="false" customHeight="false" outlineLevel="0" collapsed="false">
      <c r="A150" s="26" t="s">
        <v>323</v>
      </c>
      <c r="B150" s="26" t="s">
        <v>1099</v>
      </c>
      <c r="C150" s="26" t="s">
        <v>1102</v>
      </c>
      <c r="D150" s="26" t="n">
        <v>69</v>
      </c>
      <c r="E150" s="26" t="s">
        <v>1103</v>
      </c>
      <c r="F150" s="26" t="n">
        <v>3923</v>
      </c>
      <c r="G150" s="26" t="n">
        <v>152</v>
      </c>
      <c r="H150" s="26" t="n">
        <v>1</v>
      </c>
      <c r="I150" s="26" t="n">
        <v>80</v>
      </c>
      <c r="J150" s="26" t="n">
        <v>3</v>
      </c>
      <c r="K150" s="26" t="n">
        <v>618</v>
      </c>
      <c r="L150" s="26" t="n">
        <v>14.87</v>
      </c>
      <c r="M150" s="26"/>
    </row>
    <row r="151" customFormat="false" ht="32.8" hidden="false" customHeight="false" outlineLevel="0" collapsed="false">
      <c r="A151" s="23" t="s">
        <v>321</v>
      </c>
      <c r="B151" s="23" t="s">
        <v>1099</v>
      </c>
      <c r="C151" s="23" t="s">
        <v>1104</v>
      </c>
      <c r="D151" s="23" t="n">
        <v>52</v>
      </c>
      <c r="E151" s="23" t="s">
        <v>1105</v>
      </c>
      <c r="F151" s="23" t="n">
        <v>4080</v>
      </c>
      <c r="G151" s="23" t="n">
        <v>152</v>
      </c>
      <c r="H151" s="23" t="n">
        <v>1</v>
      </c>
      <c r="I151" s="23" t="n">
        <v>68</v>
      </c>
      <c r="J151" s="23" t="n">
        <v>3</v>
      </c>
      <c r="K151" s="23" t="n">
        <v>1423</v>
      </c>
      <c r="L151" s="23" t="n">
        <v>2.58</v>
      </c>
      <c r="M151" s="23"/>
    </row>
    <row r="152" customFormat="false" ht="32.8" hidden="false" customHeight="false" outlineLevel="0" collapsed="false">
      <c r="A152" s="26" t="s">
        <v>400</v>
      </c>
      <c r="B152" s="26" t="s">
        <v>1099</v>
      </c>
      <c r="C152" s="26" t="s">
        <v>1106</v>
      </c>
      <c r="D152" s="26" t="n">
        <v>76</v>
      </c>
      <c r="E152" s="26" t="s">
        <v>1107</v>
      </c>
      <c r="F152" s="26" t="n">
        <v>3938</v>
      </c>
      <c r="G152" s="26" t="n">
        <v>152</v>
      </c>
      <c r="H152" s="26"/>
      <c r="I152" s="26"/>
      <c r="J152" s="26" t="n">
        <v>0</v>
      </c>
      <c r="K152" s="26" t="n">
        <v>64</v>
      </c>
      <c r="L152" s="26" t="n">
        <v>2.77</v>
      </c>
      <c r="M152" s="26"/>
    </row>
    <row r="153" customFormat="false" ht="32.8" hidden="false" customHeight="false" outlineLevel="0" collapsed="false">
      <c r="A153" s="23" t="s">
        <v>325</v>
      </c>
      <c r="B153" s="23" t="s">
        <v>1099</v>
      </c>
      <c r="C153" s="23" t="s">
        <v>1108</v>
      </c>
      <c r="D153" s="23" t="n">
        <v>65</v>
      </c>
      <c r="E153" s="23" t="s">
        <v>1109</v>
      </c>
      <c r="F153" s="23" t="n">
        <v>4433</v>
      </c>
      <c r="G153" s="23" t="n">
        <v>152</v>
      </c>
      <c r="H153" s="23"/>
      <c r="I153" s="23"/>
      <c r="J153" s="23" t="n">
        <v>3</v>
      </c>
      <c r="K153" s="23" t="n">
        <v>344</v>
      </c>
      <c r="L153" s="23" t="n">
        <v>6.59</v>
      </c>
      <c r="M153" s="23"/>
    </row>
    <row r="154" customFormat="false" ht="32.8" hidden="false" customHeight="false" outlineLevel="0" collapsed="false">
      <c r="A154" s="26" t="s">
        <v>373</v>
      </c>
      <c r="B154" s="26" t="s">
        <v>1099</v>
      </c>
      <c r="C154" s="26" t="s">
        <v>1110</v>
      </c>
      <c r="D154" s="26" t="n">
        <v>59</v>
      </c>
      <c r="E154" s="26" t="s">
        <v>1111</v>
      </c>
      <c r="F154" s="26" t="n">
        <v>850</v>
      </c>
      <c r="G154" s="26" t="n">
        <v>152</v>
      </c>
      <c r="H154" s="26" t="n">
        <v>1</v>
      </c>
      <c r="I154" s="26" t="n">
        <v>92</v>
      </c>
      <c r="J154" s="26" t="n">
        <v>0</v>
      </c>
      <c r="K154" s="26" t="n">
        <v>427</v>
      </c>
      <c r="L154" s="26" t="n">
        <v>5.44</v>
      </c>
      <c r="M154" s="26"/>
    </row>
    <row r="155" customFormat="false" ht="32.8" hidden="false" customHeight="false" outlineLevel="0" collapsed="false">
      <c r="A155" s="23" t="s">
        <v>374</v>
      </c>
      <c r="B155" s="23" t="s">
        <v>1099</v>
      </c>
      <c r="C155" s="23" t="s">
        <v>1112</v>
      </c>
      <c r="D155" s="23" t="n">
        <v>59</v>
      </c>
      <c r="E155" s="23" t="s">
        <v>1113</v>
      </c>
      <c r="F155" s="23" t="n">
        <v>568</v>
      </c>
      <c r="G155" s="23" t="n">
        <v>152</v>
      </c>
      <c r="H155" s="23" t="n">
        <v>1</v>
      </c>
      <c r="I155" s="23" t="n">
        <v>90</v>
      </c>
      <c r="J155" s="23" t="n">
        <v>0</v>
      </c>
      <c r="K155" s="23" t="n">
        <v>385</v>
      </c>
      <c r="L155" s="23" t="n">
        <v>13.26</v>
      </c>
      <c r="M155" s="23"/>
    </row>
    <row r="156" customFormat="false" ht="32.8" hidden="false" customHeight="false" outlineLevel="0" collapsed="false">
      <c r="A156" s="26" t="s">
        <v>298</v>
      </c>
      <c r="B156" s="26" t="s">
        <v>888</v>
      </c>
      <c r="C156" s="26" t="s">
        <v>1114</v>
      </c>
      <c r="D156" s="26" t="n">
        <v>48</v>
      </c>
      <c r="E156" s="26" t="s">
        <v>1115</v>
      </c>
      <c r="F156" s="26" t="n">
        <v>372</v>
      </c>
      <c r="G156" s="26" t="n">
        <v>152</v>
      </c>
      <c r="H156" s="26" t="n">
        <v>2</v>
      </c>
      <c r="I156" s="26" t="n">
        <v>6</v>
      </c>
      <c r="J156" s="26" t="n">
        <v>66</v>
      </c>
      <c r="K156" s="26" t="n">
        <v>2813</v>
      </c>
      <c r="L156" s="26" t="n">
        <v>4.06</v>
      </c>
      <c r="M156" s="26"/>
    </row>
  </sheetData>
  <autoFilter ref="A4:M15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8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62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50"/>
  </cols>
  <sheetData>
    <row r="1" customFormat="false" ht="19.7" hidden="false" customHeight="false" outlineLevel="0" collapsed="false">
      <c r="A1" s="1" t="s">
        <v>1116</v>
      </c>
    </row>
    <row r="2" customFormat="false" ht="15" hidden="false" customHeight="false" outlineLevel="0" collapsed="false">
      <c r="A2" s="2" t="s">
        <v>1117</v>
      </c>
    </row>
    <row r="4" customFormat="false" ht="30" hidden="false" customHeight="true" outlineLevel="0" collapsed="false">
      <c r="A4" s="25" t="s">
        <v>469</v>
      </c>
      <c r="B4" s="25" t="s">
        <v>1118</v>
      </c>
      <c r="C4" s="25" t="s">
        <v>1119</v>
      </c>
      <c r="D4" s="25" t="s">
        <v>472</v>
      </c>
      <c r="E4" s="25" t="s">
        <v>473</v>
      </c>
      <c r="F4" s="25" t="s">
        <v>286</v>
      </c>
      <c r="G4" s="25" t="s">
        <v>1120</v>
      </c>
      <c r="H4" s="25" t="s">
        <v>476</v>
      </c>
      <c r="I4" s="25" t="s">
        <v>1121</v>
      </c>
    </row>
    <row r="5" customFormat="false" ht="15" hidden="false" customHeight="false" outlineLevel="0" collapsed="false">
      <c r="A5" s="23" t="s">
        <v>1122</v>
      </c>
      <c r="B5" s="23" t="n">
        <v>46</v>
      </c>
      <c r="C5" s="23" t="n">
        <v>70</v>
      </c>
      <c r="D5" s="23" t="n">
        <v>25</v>
      </c>
      <c r="E5" s="23" t="n">
        <v>0</v>
      </c>
      <c r="F5" s="23" t="s">
        <v>369</v>
      </c>
      <c r="G5" s="23" t="n">
        <v>0</v>
      </c>
      <c r="H5" s="23" t="s">
        <v>1123</v>
      </c>
      <c r="I5" s="23" t="s">
        <v>1124</v>
      </c>
    </row>
    <row r="6" customFormat="false" ht="15" hidden="false" customHeight="false" outlineLevel="0" collapsed="false">
      <c r="A6" s="26" t="s">
        <v>1122</v>
      </c>
      <c r="B6" s="26" t="n">
        <v>52</v>
      </c>
      <c r="C6" s="26" t="n">
        <v>70</v>
      </c>
      <c r="D6" s="26" t="n">
        <v>25</v>
      </c>
      <c r="E6" s="26" t="n">
        <v>0</v>
      </c>
      <c r="F6" s="26" t="s">
        <v>317</v>
      </c>
      <c r="G6" s="26" t="n">
        <v>0</v>
      </c>
      <c r="H6" s="26" t="s">
        <v>1123</v>
      </c>
      <c r="I6" s="26" t="s">
        <v>1124</v>
      </c>
    </row>
    <row r="7" customFormat="false" ht="15" hidden="false" customHeight="false" outlineLevel="0" collapsed="false">
      <c r="A7" s="23" t="s">
        <v>1122</v>
      </c>
      <c r="B7" s="23" t="n">
        <v>78</v>
      </c>
      <c r="C7" s="23" t="n">
        <v>70</v>
      </c>
      <c r="D7" s="23" t="n">
        <v>25</v>
      </c>
      <c r="E7" s="23" t="n">
        <v>0</v>
      </c>
      <c r="F7" s="23" t="s">
        <v>369</v>
      </c>
      <c r="G7" s="23" t="n">
        <v>0</v>
      </c>
      <c r="H7" s="23" t="s">
        <v>1123</v>
      </c>
      <c r="I7" s="23" t="s">
        <v>1124</v>
      </c>
    </row>
    <row r="8" customFormat="false" ht="22.35" hidden="false" customHeight="false" outlineLevel="0" collapsed="false">
      <c r="A8" s="26" t="s">
        <v>1125</v>
      </c>
      <c r="B8" s="26" t="n">
        <v>57</v>
      </c>
      <c r="C8" s="26" t="n">
        <v>70</v>
      </c>
      <c r="D8" s="26" t="n">
        <v>14</v>
      </c>
      <c r="E8" s="26" t="n">
        <v>0</v>
      </c>
      <c r="F8" s="26" t="s">
        <v>317</v>
      </c>
      <c r="G8" s="26" t="n">
        <v>0</v>
      </c>
      <c r="H8" s="26" t="s">
        <v>1123</v>
      </c>
      <c r="I8" s="26" t="s">
        <v>1126</v>
      </c>
    </row>
    <row r="9" customFormat="false" ht="22.35" hidden="false" customHeight="false" outlineLevel="0" collapsed="false">
      <c r="A9" s="23" t="s">
        <v>1127</v>
      </c>
      <c r="B9" s="23" t="n">
        <v>80</v>
      </c>
      <c r="C9" s="23" t="n">
        <v>110</v>
      </c>
      <c r="D9" s="23" t="n">
        <v>13</v>
      </c>
      <c r="E9" s="23" t="n">
        <v>46.3</v>
      </c>
      <c r="F9" s="23" t="s">
        <v>323</v>
      </c>
      <c r="G9" s="23" t="n">
        <v>0</v>
      </c>
      <c r="H9" s="23" t="s">
        <v>1123</v>
      </c>
      <c r="I9" s="23" t="s">
        <v>1128</v>
      </c>
    </row>
    <row r="10" customFormat="false" ht="15" hidden="false" customHeight="false" outlineLevel="0" collapsed="false">
      <c r="A10" s="26" t="s">
        <v>1129</v>
      </c>
      <c r="B10" s="26" t="n">
        <v>80</v>
      </c>
      <c r="C10" s="26" t="n">
        <v>50</v>
      </c>
      <c r="D10" s="26" t="n">
        <v>12</v>
      </c>
      <c r="E10" s="26" t="n">
        <v>34.47</v>
      </c>
      <c r="F10" s="26" t="s">
        <v>370</v>
      </c>
      <c r="G10" s="26" t="n">
        <v>0</v>
      </c>
      <c r="H10" s="26" t="s">
        <v>1123</v>
      </c>
      <c r="I10" s="26" t="s">
        <v>1124</v>
      </c>
    </row>
    <row r="11" customFormat="false" ht="15" hidden="false" customHeight="false" outlineLevel="0" collapsed="false">
      <c r="A11" s="23" t="s">
        <v>1130</v>
      </c>
      <c r="B11" s="23" t="n">
        <v>34</v>
      </c>
      <c r="C11" s="23" t="n">
        <v>70</v>
      </c>
      <c r="D11" s="23" t="n">
        <v>32</v>
      </c>
      <c r="E11" s="23" t="n">
        <v>0</v>
      </c>
      <c r="F11" s="23" t="s">
        <v>370</v>
      </c>
      <c r="G11" s="23" t="n">
        <v>0</v>
      </c>
      <c r="H11" s="23" t="s">
        <v>1131</v>
      </c>
      <c r="I11" s="23" t="s">
        <v>1132</v>
      </c>
    </row>
    <row r="12" customFormat="false" ht="22.35" hidden="false" customHeight="false" outlineLevel="0" collapsed="false">
      <c r="A12" s="26" t="s">
        <v>1133</v>
      </c>
      <c r="B12" s="26" t="n">
        <v>58</v>
      </c>
      <c r="C12" s="26" t="n">
        <v>40</v>
      </c>
      <c r="D12" s="26" t="n">
        <v>35</v>
      </c>
      <c r="E12" s="26" t="n">
        <v>0</v>
      </c>
      <c r="F12" s="26" t="s">
        <v>328</v>
      </c>
      <c r="G12" s="26" t="n">
        <v>0</v>
      </c>
      <c r="H12" s="26" t="s">
        <v>1123</v>
      </c>
      <c r="I12" s="26" t="s">
        <v>1134</v>
      </c>
    </row>
    <row r="13" customFormat="false" ht="22.35" hidden="false" customHeight="false" outlineLevel="0" collapsed="false">
      <c r="A13" s="23" t="s">
        <v>1133</v>
      </c>
      <c r="B13" s="23" t="n">
        <v>59</v>
      </c>
      <c r="C13" s="23" t="n">
        <v>40</v>
      </c>
      <c r="D13" s="23" t="n">
        <v>35</v>
      </c>
      <c r="E13" s="23" t="n">
        <v>0</v>
      </c>
      <c r="F13" s="23" t="s">
        <v>328</v>
      </c>
      <c r="G13" s="23" t="n">
        <v>0</v>
      </c>
      <c r="H13" s="23" t="s">
        <v>1123</v>
      </c>
      <c r="I13" s="23" t="s">
        <v>1134</v>
      </c>
    </row>
    <row r="14" customFormat="false" ht="15" hidden="false" customHeight="false" outlineLevel="0" collapsed="false">
      <c r="A14" s="26" t="s">
        <v>514</v>
      </c>
      <c r="B14" s="26" t="n">
        <v>33</v>
      </c>
      <c r="C14" s="26" t="n">
        <v>140</v>
      </c>
      <c r="D14" s="26" t="n">
        <v>24</v>
      </c>
      <c r="E14" s="26" t="n">
        <v>0</v>
      </c>
      <c r="F14" s="26" t="s">
        <v>328</v>
      </c>
      <c r="G14" s="26" t="n">
        <v>0</v>
      </c>
      <c r="H14" s="26" t="s">
        <v>1123</v>
      </c>
      <c r="I14" s="26" t="s">
        <v>1135</v>
      </c>
    </row>
    <row r="15" customFormat="false" ht="15" hidden="false" customHeight="false" outlineLevel="0" collapsed="false">
      <c r="A15" s="23" t="s">
        <v>1136</v>
      </c>
      <c r="B15" s="23" t="n">
        <v>52</v>
      </c>
      <c r="C15" s="23" t="n">
        <v>40</v>
      </c>
      <c r="D15" s="23" t="n">
        <v>40</v>
      </c>
      <c r="E15" s="23" t="n">
        <v>0</v>
      </c>
      <c r="F15" s="23" t="s">
        <v>395</v>
      </c>
      <c r="G15" s="23" t="n">
        <v>0</v>
      </c>
      <c r="H15" s="23" t="s">
        <v>1123</v>
      </c>
      <c r="I15" s="23" t="s">
        <v>1137</v>
      </c>
    </row>
    <row r="16" customFormat="false" ht="22.35" hidden="false" customHeight="false" outlineLevel="0" collapsed="false">
      <c r="A16" s="26" t="s">
        <v>508</v>
      </c>
      <c r="B16" s="26" t="n">
        <v>69</v>
      </c>
      <c r="C16" s="26" t="n">
        <v>170</v>
      </c>
      <c r="D16" s="26" t="n">
        <v>35</v>
      </c>
      <c r="E16" s="26" t="n">
        <v>0</v>
      </c>
      <c r="F16" s="26" t="s">
        <v>317</v>
      </c>
      <c r="G16" s="26" t="n">
        <v>0</v>
      </c>
      <c r="H16" s="26" t="s">
        <v>1123</v>
      </c>
      <c r="I16" s="26" t="s">
        <v>1138</v>
      </c>
    </row>
    <row r="17" customFormat="false" ht="22.35" hidden="false" customHeight="false" outlineLevel="0" collapsed="false">
      <c r="A17" s="23" t="s">
        <v>508</v>
      </c>
      <c r="B17" s="23" t="n">
        <v>74</v>
      </c>
      <c r="C17" s="23" t="n">
        <v>170</v>
      </c>
      <c r="D17" s="23" t="n">
        <v>35</v>
      </c>
      <c r="E17" s="23" t="n">
        <v>0</v>
      </c>
      <c r="F17" s="23" t="s">
        <v>317</v>
      </c>
      <c r="G17" s="23" t="n">
        <v>0</v>
      </c>
      <c r="H17" s="23" t="s">
        <v>1123</v>
      </c>
      <c r="I17" s="23" t="s">
        <v>1138</v>
      </c>
    </row>
    <row r="18" customFormat="false" ht="22.35" hidden="false" customHeight="false" outlineLevel="0" collapsed="false">
      <c r="A18" s="26" t="s">
        <v>503</v>
      </c>
      <c r="B18" s="26" t="n">
        <v>73</v>
      </c>
      <c r="C18" s="26" t="n">
        <v>170</v>
      </c>
      <c r="D18" s="26" t="n">
        <v>57</v>
      </c>
      <c r="E18" s="26" t="n">
        <v>91.81</v>
      </c>
      <c r="F18" s="26" t="s">
        <v>317</v>
      </c>
      <c r="G18" s="26" t="n">
        <v>0</v>
      </c>
      <c r="H18" s="26" t="s">
        <v>1131</v>
      </c>
      <c r="I18" s="26" t="s">
        <v>1138</v>
      </c>
    </row>
    <row r="19" customFormat="false" ht="22.35" hidden="false" customHeight="false" outlineLevel="0" collapsed="false">
      <c r="A19" s="23" t="s">
        <v>1139</v>
      </c>
      <c r="B19" s="23" t="n">
        <v>51</v>
      </c>
      <c r="C19" s="23" t="n">
        <v>50</v>
      </c>
      <c r="D19" s="23"/>
      <c r="E19" s="23" t="n">
        <v>0</v>
      </c>
      <c r="F19" s="23" t="s">
        <v>317</v>
      </c>
      <c r="G19" s="23" t="n">
        <v>0</v>
      </c>
      <c r="H19" s="23" t="s">
        <v>1131</v>
      </c>
      <c r="I19" s="23" t="s">
        <v>1138</v>
      </c>
    </row>
    <row r="20" customFormat="false" ht="22.35" hidden="false" customHeight="false" outlineLevel="0" collapsed="false">
      <c r="A20" s="26" t="s">
        <v>505</v>
      </c>
      <c r="B20" s="26" t="n">
        <v>79</v>
      </c>
      <c r="C20" s="26" t="n">
        <v>210</v>
      </c>
      <c r="D20" s="26" t="n">
        <v>50</v>
      </c>
      <c r="E20" s="26" t="n">
        <v>0</v>
      </c>
      <c r="F20" s="26" t="s">
        <v>317</v>
      </c>
      <c r="G20" s="26" t="n">
        <v>0</v>
      </c>
      <c r="H20" s="26" t="s">
        <v>1123</v>
      </c>
      <c r="I20" s="26" t="s">
        <v>1138</v>
      </c>
    </row>
    <row r="21" customFormat="false" ht="22.35" hidden="false" customHeight="false" outlineLevel="0" collapsed="false">
      <c r="A21" s="23" t="s">
        <v>500</v>
      </c>
      <c r="B21" s="23" t="n">
        <v>76</v>
      </c>
      <c r="C21" s="23" t="n">
        <v>320</v>
      </c>
      <c r="D21" s="23" t="n">
        <v>47</v>
      </c>
      <c r="E21" s="23" t="n">
        <v>29.05</v>
      </c>
      <c r="F21" s="23" t="s">
        <v>317</v>
      </c>
      <c r="G21" s="23" t="n">
        <v>0</v>
      </c>
      <c r="H21" s="23" t="s">
        <v>1123</v>
      </c>
      <c r="I21" s="23" t="s">
        <v>1138</v>
      </c>
    </row>
    <row r="22" customFormat="false" ht="22.35" hidden="false" customHeight="false" outlineLevel="0" collapsed="false">
      <c r="A22" s="26" t="s">
        <v>1140</v>
      </c>
      <c r="B22" s="26" t="n">
        <v>31</v>
      </c>
      <c r="C22" s="26" t="n">
        <v>40</v>
      </c>
      <c r="D22" s="26" t="n">
        <v>16</v>
      </c>
      <c r="E22" s="26" t="n">
        <v>0</v>
      </c>
      <c r="F22" s="26" t="s">
        <v>370</v>
      </c>
      <c r="G22" s="26" t="n">
        <v>0</v>
      </c>
      <c r="H22" s="26" t="s">
        <v>1123</v>
      </c>
      <c r="I22" s="26" t="s">
        <v>1141</v>
      </c>
    </row>
    <row r="23" customFormat="false" ht="15" hidden="false" customHeight="false" outlineLevel="0" collapsed="false">
      <c r="A23" s="23" t="s">
        <v>1142</v>
      </c>
      <c r="B23" s="23" t="n">
        <v>64</v>
      </c>
      <c r="C23" s="23" t="n">
        <v>40</v>
      </c>
      <c r="D23" s="23" t="n">
        <v>37</v>
      </c>
      <c r="E23" s="23" t="n">
        <v>0</v>
      </c>
      <c r="F23" s="23" t="s">
        <v>317</v>
      </c>
      <c r="G23" s="23" t="n">
        <v>0</v>
      </c>
      <c r="H23" s="23" t="s">
        <v>1131</v>
      </c>
      <c r="I23" s="23" t="s">
        <v>1137</v>
      </c>
    </row>
    <row r="24" customFormat="false" ht="15" hidden="false" customHeight="false" outlineLevel="0" collapsed="false">
      <c r="A24" s="26" t="s">
        <v>1143</v>
      </c>
      <c r="B24" s="26" t="n">
        <v>63</v>
      </c>
      <c r="C24" s="26" t="n">
        <v>30</v>
      </c>
      <c r="D24" s="26" t="n">
        <v>41</v>
      </c>
      <c r="E24" s="26" t="n">
        <v>60.51</v>
      </c>
      <c r="F24" s="26" t="s">
        <v>317</v>
      </c>
      <c r="G24" s="26" t="n">
        <v>0</v>
      </c>
      <c r="H24" s="26" t="s">
        <v>1131</v>
      </c>
      <c r="I24" s="26" t="s">
        <v>1144</v>
      </c>
    </row>
    <row r="25" customFormat="false" ht="15" hidden="false" customHeight="false" outlineLevel="0" collapsed="false">
      <c r="A25" s="23" t="s">
        <v>1145</v>
      </c>
      <c r="B25" s="23" t="n">
        <v>41</v>
      </c>
      <c r="C25" s="23" t="n">
        <v>50</v>
      </c>
      <c r="D25" s="23" t="n">
        <v>18</v>
      </c>
      <c r="E25" s="23" t="n">
        <v>0</v>
      </c>
      <c r="F25" s="23" t="s">
        <v>317</v>
      </c>
      <c r="G25" s="23" t="n">
        <v>0</v>
      </c>
      <c r="H25" s="23" t="s">
        <v>1131</v>
      </c>
      <c r="I25" s="23" t="s">
        <v>1144</v>
      </c>
    </row>
    <row r="26" customFormat="false" ht="15" hidden="false" customHeight="false" outlineLevel="0" collapsed="false">
      <c r="A26" s="26" t="s">
        <v>518</v>
      </c>
      <c r="B26" s="26" t="n">
        <v>13</v>
      </c>
      <c r="C26" s="26" t="n">
        <v>50</v>
      </c>
      <c r="D26" s="26" t="n">
        <v>1</v>
      </c>
      <c r="E26" s="26" t="n">
        <v>0</v>
      </c>
      <c r="F26" s="26" t="s">
        <v>396</v>
      </c>
      <c r="G26" s="26" t="n">
        <v>0</v>
      </c>
      <c r="H26" s="26" t="s">
        <v>1123</v>
      </c>
      <c r="I26" s="26" t="s">
        <v>1146</v>
      </c>
    </row>
    <row r="27" customFormat="false" ht="22.35" hidden="false" customHeight="false" outlineLevel="0" collapsed="false">
      <c r="A27" s="23" t="s">
        <v>1147</v>
      </c>
      <c r="B27" s="23" t="n">
        <v>51</v>
      </c>
      <c r="C27" s="23" t="n">
        <v>110</v>
      </c>
      <c r="D27" s="23" t="n">
        <v>30</v>
      </c>
      <c r="E27" s="23" t="n">
        <v>14.59</v>
      </c>
      <c r="F27" s="23" t="s">
        <v>295</v>
      </c>
      <c r="G27" s="23" t="n">
        <v>0</v>
      </c>
      <c r="H27" s="23" t="s">
        <v>1148</v>
      </c>
      <c r="I27" s="23" t="s">
        <v>1149</v>
      </c>
    </row>
    <row r="28" customFormat="false" ht="22.35" hidden="false" customHeight="false" outlineLevel="0" collapsed="false">
      <c r="A28" s="26" t="s">
        <v>1150</v>
      </c>
      <c r="B28" s="26" t="n">
        <v>20</v>
      </c>
      <c r="C28" s="26" t="n">
        <v>140</v>
      </c>
      <c r="D28" s="26" t="n">
        <v>20</v>
      </c>
      <c r="E28" s="26" t="n">
        <v>10.91</v>
      </c>
      <c r="F28" s="26" t="s">
        <v>328</v>
      </c>
      <c r="G28" s="26" t="n">
        <v>0</v>
      </c>
      <c r="H28" s="26" t="s">
        <v>1123</v>
      </c>
      <c r="I28" s="26" t="s">
        <v>1151</v>
      </c>
    </row>
    <row r="29" customFormat="false" ht="22.35" hidden="false" customHeight="false" outlineLevel="0" collapsed="false">
      <c r="A29" s="23" t="s">
        <v>1152</v>
      </c>
      <c r="B29" s="23" t="n">
        <v>31</v>
      </c>
      <c r="C29" s="23" t="n">
        <v>40</v>
      </c>
      <c r="D29" s="23"/>
      <c r="E29" s="23" t="n">
        <v>0</v>
      </c>
      <c r="F29" s="23" t="s">
        <v>339</v>
      </c>
      <c r="G29" s="23" t="n">
        <v>0</v>
      </c>
      <c r="H29" s="23" t="s">
        <v>1123</v>
      </c>
      <c r="I29" s="23" t="s">
        <v>1153</v>
      </c>
    </row>
    <row r="30" customFormat="false" ht="22.35" hidden="false" customHeight="false" outlineLevel="0" collapsed="false">
      <c r="A30" s="26" t="s">
        <v>1154</v>
      </c>
      <c r="B30" s="26" t="n">
        <v>64</v>
      </c>
      <c r="C30" s="26" t="n">
        <v>40</v>
      </c>
      <c r="D30" s="26" t="n">
        <v>4</v>
      </c>
      <c r="E30" s="26" t="n">
        <v>0</v>
      </c>
      <c r="F30" s="26" t="s">
        <v>339</v>
      </c>
      <c r="G30" s="26" t="n">
        <v>0</v>
      </c>
      <c r="H30" s="26" t="s">
        <v>1123</v>
      </c>
      <c r="I30" s="26" t="s">
        <v>1138</v>
      </c>
    </row>
    <row r="31" customFormat="false" ht="22.35" hidden="false" customHeight="false" outlineLevel="0" collapsed="false">
      <c r="A31" s="23" t="s">
        <v>1155</v>
      </c>
      <c r="B31" s="23" t="n">
        <v>33</v>
      </c>
      <c r="C31" s="23" t="n">
        <v>50</v>
      </c>
      <c r="D31" s="23"/>
      <c r="E31" s="23" t="n">
        <v>0</v>
      </c>
      <c r="F31" s="23" t="s">
        <v>383</v>
      </c>
      <c r="G31" s="23" t="n">
        <v>0</v>
      </c>
      <c r="H31" s="23" t="s">
        <v>1123</v>
      </c>
      <c r="I31" s="23" t="s">
        <v>1144</v>
      </c>
    </row>
    <row r="32" customFormat="false" ht="22.35" hidden="false" customHeight="false" outlineLevel="0" collapsed="false">
      <c r="A32" s="26" t="s">
        <v>1156</v>
      </c>
      <c r="B32" s="26" t="n">
        <v>49</v>
      </c>
      <c r="C32" s="26" t="n">
        <v>40</v>
      </c>
      <c r="D32" s="26" t="n">
        <v>26</v>
      </c>
      <c r="E32" s="26" t="n">
        <v>0</v>
      </c>
      <c r="F32" s="26" t="s">
        <v>317</v>
      </c>
      <c r="G32" s="26" t="n">
        <v>0</v>
      </c>
      <c r="H32" s="26" t="s">
        <v>1157</v>
      </c>
      <c r="I32" s="26" t="s">
        <v>1146</v>
      </c>
    </row>
    <row r="33" customFormat="false" ht="15" hidden="false" customHeight="false" outlineLevel="0" collapsed="false">
      <c r="A33" s="23" t="s">
        <v>1158</v>
      </c>
      <c r="B33" s="23" t="n">
        <v>19</v>
      </c>
      <c r="C33" s="23" t="n">
        <v>110</v>
      </c>
      <c r="D33" s="23" t="n">
        <v>0</v>
      </c>
      <c r="E33" s="23" t="n">
        <v>0</v>
      </c>
      <c r="F33" s="23" t="s">
        <v>295</v>
      </c>
      <c r="G33" s="23" t="n">
        <v>0</v>
      </c>
      <c r="H33" s="23" t="s">
        <v>1123</v>
      </c>
      <c r="I33" s="23" t="s">
        <v>1159</v>
      </c>
    </row>
    <row r="34" customFormat="false" ht="15" hidden="false" customHeight="false" outlineLevel="0" collapsed="false">
      <c r="A34" s="26" t="s">
        <v>1160</v>
      </c>
      <c r="B34" s="26" t="n">
        <v>28</v>
      </c>
      <c r="C34" s="26" t="n">
        <v>1300</v>
      </c>
      <c r="D34" s="26" t="n">
        <v>12</v>
      </c>
      <c r="E34" s="26" t="n">
        <v>0</v>
      </c>
      <c r="F34" s="26" t="s">
        <v>327</v>
      </c>
      <c r="G34" s="26" t="n">
        <v>1</v>
      </c>
      <c r="H34" s="26" t="s">
        <v>1123</v>
      </c>
      <c r="I34" s="26" t="s">
        <v>1161</v>
      </c>
    </row>
    <row r="35" customFormat="false" ht="22.35" hidden="false" customHeight="false" outlineLevel="0" collapsed="false">
      <c r="A35" s="23" t="s">
        <v>486</v>
      </c>
      <c r="B35" s="23" t="n">
        <v>25</v>
      </c>
      <c r="C35" s="23" t="n">
        <v>480</v>
      </c>
      <c r="D35" s="23" t="n">
        <v>43</v>
      </c>
      <c r="E35" s="23" t="n">
        <v>39.51</v>
      </c>
      <c r="F35" s="23" t="s">
        <v>387</v>
      </c>
      <c r="G35" s="23" t="n">
        <v>0</v>
      </c>
      <c r="H35" s="23" t="s">
        <v>1123</v>
      </c>
      <c r="I35" s="23" t="s">
        <v>1138</v>
      </c>
    </row>
    <row r="36" customFormat="false" ht="15" hidden="false" customHeight="false" outlineLevel="0" collapsed="false">
      <c r="A36" s="26" t="s">
        <v>494</v>
      </c>
      <c r="B36" s="26" t="n">
        <v>59</v>
      </c>
      <c r="C36" s="26" t="n">
        <v>110</v>
      </c>
      <c r="D36" s="26" t="n">
        <v>38</v>
      </c>
      <c r="E36" s="26" t="n">
        <v>0</v>
      </c>
      <c r="F36" s="26" t="s">
        <v>378</v>
      </c>
      <c r="G36" s="26" t="n">
        <v>0</v>
      </c>
      <c r="H36" s="26" t="s">
        <v>1123</v>
      </c>
      <c r="I36" s="26" t="s">
        <v>1137</v>
      </c>
    </row>
    <row r="37" customFormat="false" ht="15" hidden="false" customHeight="false" outlineLevel="0" collapsed="false">
      <c r="A37" s="23" t="s">
        <v>494</v>
      </c>
      <c r="B37" s="23" t="n">
        <v>60</v>
      </c>
      <c r="C37" s="23" t="n">
        <v>110</v>
      </c>
      <c r="D37" s="23" t="n">
        <v>38</v>
      </c>
      <c r="E37" s="23" t="n">
        <v>0</v>
      </c>
      <c r="F37" s="23" t="s">
        <v>378</v>
      </c>
      <c r="G37" s="23" t="n">
        <v>0</v>
      </c>
      <c r="H37" s="23" t="s">
        <v>1123</v>
      </c>
      <c r="I37" s="23" t="s">
        <v>1137</v>
      </c>
    </row>
    <row r="38" customFormat="false" ht="22.35" hidden="false" customHeight="false" outlineLevel="0" collapsed="false">
      <c r="A38" s="26" t="s">
        <v>483</v>
      </c>
      <c r="B38" s="26" t="n">
        <v>17</v>
      </c>
      <c r="C38" s="26" t="n">
        <v>140</v>
      </c>
      <c r="D38" s="26" t="n">
        <v>23</v>
      </c>
      <c r="E38" s="26" t="n">
        <v>19.25</v>
      </c>
      <c r="F38" s="26" t="s">
        <v>338</v>
      </c>
      <c r="G38" s="26" t="n">
        <v>0</v>
      </c>
      <c r="H38" s="26" t="s">
        <v>1123</v>
      </c>
      <c r="I38" s="26" t="s">
        <v>1162</v>
      </c>
    </row>
    <row r="39" customFormat="false" ht="22.35" hidden="false" customHeight="false" outlineLevel="0" collapsed="false">
      <c r="A39" s="23" t="s">
        <v>478</v>
      </c>
      <c r="B39" s="23" t="n">
        <v>20</v>
      </c>
      <c r="C39" s="23" t="n">
        <v>140</v>
      </c>
      <c r="D39" s="23" t="n">
        <v>10</v>
      </c>
      <c r="E39" s="23" t="n">
        <v>34.95</v>
      </c>
      <c r="F39" s="23" t="s">
        <v>300</v>
      </c>
      <c r="G39" s="23" t="n">
        <v>0</v>
      </c>
      <c r="H39" s="23" t="s">
        <v>1157</v>
      </c>
      <c r="I39" s="23" t="s">
        <v>1138</v>
      </c>
    </row>
    <row r="40" customFormat="false" ht="22.35" hidden="false" customHeight="false" outlineLevel="0" collapsed="false">
      <c r="A40" s="26" t="s">
        <v>1163</v>
      </c>
      <c r="B40" s="26" t="n">
        <v>28</v>
      </c>
      <c r="C40" s="26" t="n">
        <v>70</v>
      </c>
      <c r="D40" s="26" t="n">
        <v>7</v>
      </c>
      <c r="E40" s="26" t="n">
        <v>0</v>
      </c>
      <c r="F40" s="26" t="s">
        <v>300</v>
      </c>
      <c r="G40" s="26" t="n">
        <v>0</v>
      </c>
      <c r="H40" s="26" t="s">
        <v>1157</v>
      </c>
      <c r="I40" s="26" t="s">
        <v>1138</v>
      </c>
    </row>
    <row r="41" customFormat="false" ht="15" hidden="false" customHeight="false" outlineLevel="0" collapsed="false">
      <c r="A41" s="23" t="s">
        <v>1164</v>
      </c>
      <c r="B41" s="23" t="n">
        <v>38</v>
      </c>
      <c r="C41" s="23" t="n">
        <v>40</v>
      </c>
      <c r="D41" s="23" t="n">
        <v>1</v>
      </c>
      <c r="E41" s="23" t="n">
        <v>4.73</v>
      </c>
      <c r="F41" s="23" t="s">
        <v>300</v>
      </c>
      <c r="G41" s="23" t="n">
        <v>0</v>
      </c>
      <c r="H41" s="23" t="s">
        <v>1157</v>
      </c>
      <c r="I41" s="23" t="s">
        <v>1165</v>
      </c>
    </row>
    <row r="42" customFormat="false" ht="22.35" hidden="false" customHeight="false" outlineLevel="0" collapsed="false">
      <c r="A42" s="26" t="s">
        <v>489</v>
      </c>
      <c r="B42" s="26" t="n">
        <v>38</v>
      </c>
      <c r="C42" s="26" t="n">
        <v>260</v>
      </c>
      <c r="D42" s="26" t="n">
        <v>34</v>
      </c>
      <c r="E42" s="26" t="n">
        <v>25.16</v>
      </c>
      <c r="F42" s="26" t="s">
        <v>371</v>
      </c>
      <c r="G42" s="26" t="n">
        <v>0</v>
      </c>
      <c r="H42" s="26" t="s">
        <v>1123</v>
      </c>
      <c r="I42" s="26" t="s">
        <v>1138</v>
      </c>
    </row>
    <row r="43" customFormat="false" ht="22.35" hidden="false" customHeight="false" outlineLevel="0" collapsed="false">
      <c r="A43" s="23" t="s">
        <v>1166</v>
      </c>
      <c r="B43" s="23" t="n">
        <v>61</v>
      </c>
      <c r="C43" s="23" t="n">
        <v>40</v>
      </c>
      <c r="D43" s="23"/>
      <c r="E43" s="23" t="n">
        <v>0</v>
      </c>
      <c r="F43" s="23" t="s">
        <v>378</v>
      </c>
      <c r="G43" s="23" t="n">
        <v>0</v>
      </c>
      <c r="H43" s="23" t="s">
        <v>1123</v>
      </c>
      <c r="I43" s="23" t="s">
        <v>1167</v>
      </c>
    </row>
    <row r="44" customFormat="false" ht="22.35" hidden="false" customHeight="false" outlineLevel="0" collapsed="false">
      <c r="A44" s="26" t="s">
        <v>1168</v>
      </c>
      <c r="B44" s="26" t="n">
        <v>26</v>
      </c>
      <c r="C44" s="26" t="n">
        <v>50</v>
      </c>
      <c r="D44" s="26" t="n">
        <v>12</v>
      </c>
      <c r="E44" s="26" t="n">
        <v>3.26</v>
      </c>
      <c r="F44" s="26" t="s">
        <v>387</v>
      </c>
      <c r="G44" s="26" t="n">
        <v>0</v>
      </c>
      <c r="H44" s="26" t="s">
        <v>1123</v>
      </c>
      <c r="I44" s="26" t="s">
        <v>1169</v>
      </c>
    </row>
    <row r="45" customFormat="false" ht="22.35" hidden="false" customHeight="false" outlineLevel="0" collapsed="false">
      <c r="A45" s="23" t="s">
        <v>1168</v>
      </c>
      <c r="B45" s="23" t="n">
        <v>70</v>
      </c>
      <c r="C45" s="23" t="n">
        <v>50</v>
      </c>
      <c r="D45" s="23" t="n">
        <v>12</v>
      </c>
      <c r="E45" s="23" t="n">
        <v>3.26</v>
      </c>
      <c r="F45" s="23" t="s">
        <v>338</v>
      </c>
      <c r="G45" s="23" t="n">
        <v>0</v>
      </c>
      <c r="H45" s="23" t="s">
        <v>1123</v>
      </c>
      <c r="I45" s="23" t="s">
        <v>1169</v>
      </c>
    </row>
    <row r="46" customFormat="false" ht="22.35" hidden="false" customHeight="false" outlineLevel="0" collapsed="false">
      <c r="A46" s="26" t="s">
        <v>496</v>
      </c>
      <c r="B46" s="26" t="n">
        <v>69</v>
      </c>
      <c r="C46" s="26" t="n">
        <v>50</v>
      </c>
      <c r="D46" s="26" t="n">
        <v>1</v>
      </c>
      <c r="E46" s="26" t="n">
        <v>18.18</v>
      </c>
      <c r="F46" s="26" t="s">
        <v>376</v>
      </c>
      <c r="G46" s="26" t="n">
        <v>0</v>
      </c>
      <c r="H46" s="26" t="s">
        <v>1123</v>
      </c>
      <c r="I46" s="26" t="s">
        <v>1144</v>
      </c>
    </row>
    <row r="47" customFormat="false" ht="22.35" hidden="false" customHeight="false" outlineLevel="0" collapsed="false">
      <c r="A47" s="23" t="s">
        <v>496</v>
      </c>
      <c r="B47" s="23" t="n">
        <v>92</v>
      </c>
      <c r="C47" s="23" t="n">
        <v>50</v>
      </c>
      <c r="D47" s="23" t="n">
        <v>1</v>
      </c>
      <c r="E47" s="23" t="n">
        <v>18.18</v>
      </c>
      <c r="F47" s="23" t="s">
        <v>376</v>
      </c>
      <c r="G47" s="23" t="n">
        <v>0</v>
      </c>
      <c r="H47" s="23" t="s">
        <v>1123</v>
      </c>
      <c r="I47" s="23" t="s">
        <v>1144</v>
      </c>
    </row>
    <row r="48" customFormat="false" ht="15" hidden="false" customHeight="false" outlineLevel="0" collapsed="false">
      <c r="A48" s="26" t="s">
        <v>1170</v>
      </c>
      <c r="B48" s="26" t="n">
        <v>17</v>
      </c>
      <c r="C48" s="26" t="n">
        <v>40</v>
      </c>
      <c r="D48" s="26" t="n">
        <v>0</v>
      </c>
      <c r="E48" s="26" t="n">
        <v>0</v>
      </c>
      <c r="F48" s="26" t="s">
        <v>317</v>
      </c>
      <c r="G48" s="26" t="n">
        <v>0</v>
      </c>
      <c r="H48" s="26" t="s">
        <v>1171</v>
      </c>
      <c r="I48" s="26" t="s">
        <v>1161</v>
      </c>
    </row>
    <row r="49" customFormat="false" ht="22.35" hidden="false" customHeight="false" outlineLevel="0" collapsed="false">
      <c r="A49" s="23" t="s">
        <v>1172</v>
      </c>
      <c r="B49" s="23" t="n">
        <v>47</v>
      </c>
      <c r="C49" s="23" t="n">
        <v>70</v>
      </c>
      <c r="D49" s="23" t="n">
        <v>18</v>
      </c>
      <c r="E49" s="23" t="n">
        <v>0</v>
      </c>
      <c r="F49" s="23" t="s">
        <v>300</v>
      </c>
      <c r="G49" s="23" t="n">
        <v>0</v>
      </c>
      <c r="H49" s="23" t="s">
        <v>1157</v>
      </c>
      <c r="I49" s="23" t="s">
        <v>1173</v>
      </c>
    </row>
    <row r="50" customFormat="false" ht="22.35" hidden="false" customHeight="false" outlineLevel="0" collapsed="false">
      <c r="A50" s="26" t="s">
        <v>1174</v>
      </c>
      <c r="B50" s="26" t="n">
        <v>64</v>
      </c>
      <c r="C50" s="26" t="n">
        <v>110</v>
      </c>
      <c r="D50" s="26" t="n">
        <v>8</v>
      </c>
      <c r="E50" s="26" t="n">
        <v>0</v>
      </c>
      <c r="F50" s="26" t="s">
        <v>388</v>
      </c>
      <c r="G50" s="26" t="n">
        <v>0</v>
      </c>
      <c r="H50" s="26" t="s">
        <v>1123</v>
      </c>
      <c r="I50" s="26" t="s">
        <v>1144</v>
      </c>
    </row>
    <row r="51" customFormat="false" ht="22.35" hidden="false" customHeight="false" outlineLevel="0" collapsed="false">
      <c r="A51" s="23" t="s">
        <v>1175</v>
      </c>
      <c r="B51" s="23" t="n">
        <v>22</v>
      </c>
      <c r="C51" s="23" t="n">
        <v>50</v>
      </c>
      <c r="D51" s="23"/>
      <c r="E51" s="23" t="n">
        <v>0</v>
      </c>
      <c r="F51" s="23" t="s">
        <v>381</v>
      </c>
      <c r="G51" s="23" t="n">
        <v>0</v>
      </c>
      <c r="H51" s="23" t="s">
        <v>1123</v>
      </c>
      <c r="I51" s="23" t="s">
        <v>1138</v>
      </c>
    </row>
    <row r="52" customFormat="false" ht="22.35" hidden="false" customHeight="false" outlineLevel="0" collapsed="false">
      <c r="A52" s="26" t="s">
        <v>1176</v>
      </c>
      <c r="B52" s="26" t="n">
        <v>2</v>
      </c>
      <c r="C52" s="26" t="n">
        <v>40</v>
      </c>
      <c r="D52" s="26" t="n">
        <v>0</v>
      </c>
      <c r="E52" s="26" t="n">
        <v>0</v>
      </c>
      <c r="F52" s="26" t="s">
        <v>322</v>
      </c>
      <c r="G52" s="26" t="n">
        <v>1</v>
      </c>
      <c r="H52" s="26" t="s">
        <v>1123</v>
      </c>
      <c r="I52" s="26" t="s">
        <v>1177</v>
      </c>
    </row>
    <row r="53" customFormat="false" ht="15" hidden="false" customHeight="false" outlineLevel="0" collapsed="false">
      <c r="A53" s="23" t="s">
        <v>1178</v>
      </c>
      <c r="B53" s="23" t="n">
        <v>45</v>
      </c>
      <c r="C53" s="23" t="n">
        <v>880</v>
      </c>
      <c r="D53" s="23" t="n">
        <v>24</v>
      </c>
      <c r="E53" s="23" t="n">
        <v>0</v>
      </c>
      <c r="F53" s="23" t="s">
        <v>379</v>
      </c>
      <c r="G53" s="23" t="n">
        <v>0</v>
      </c>
      <c r="H53" s="23" t="s">
        <v>1123</v>
      </c>
      <c r="I53" s="23" t="s">
        <v>1179</v>
      </c>
    </row>
    <row r="54" customFormat="false" ht="22.35" hidden="false" customHeight="false" outlineLevel="0" collapsed="false">
      <c r="A54" s="26" t="s">
        <v>1180</v>
      </c>
      <c r="B54" s="26" t="n">
        <v>85</v>
      </c>
      <c r="C54" s="26" t="n">
        <v>40</v>
      </c>
      <c r="D54" s="26" t="n">
        <v>11</v>
      </c>
      <c r="E54" s="26" t="n">
        <v>0</v>
      </c>
      <c r="F54" s="26" t="s">
        <v>317</v>
      </c>
      <c r="G54" s="26" t="n">
        <v>0</v>
      </c>
      <c r="H54" s="26" t="s">
        <v>1131</v>
      </c>
      <c r="I54" s="26" t="s">
        <v>1181</v>
      </c>
    </row>
    <row r="55" customFormat="false" ht="15" hidden="false" customHeight="false" outlineLevel="0" collapsed="false">
      <c r="A55" s="23" t="s">
        <v>1182</v>
      </c>
      <c r="B55" s="23" t="n">
        <v>33</v>
      </c>
      <c r="C55" s="23" t="n">
        <v>50</v>
      </c>
      <c r="D55" s="23" t="n">
        <v>13</v>
      </c>
      <c r="E55" s="23" t="n">
        <v>0</v>
      </c>
      <c r="F55" s="23" t="s">
        <v>339</v>
      </c>
      <c r="G55" s="23" t="n">
        <v>0</v>
      </c>
      <c r="H55" s="23" t="s">
        <v>1123</v>
      </c>
      <c r="I55" s="23" t="s">
        <v>1161</v>
      </c>
    </row>
    <row r="56" customFormat="false" ht="15" hidden="false" customHeight="false" outlineLevel="0" collapsed="false">
      <c r="A56" s="26" t="s">
        <v>1183</v>
      </c>
      <c r="B56" s="26" t="n">
        <v>34</v>
      </c>
      <c r="C56" s="26" t="n">
        <v>70</v>
      </c>
      <c r="D56" s="26" t="n">
        <v>9</v>
      </c>
      <c r="E56" s="26" t="n">
        <v>0</v>
      </c>
      <c r="F56" s="26" t="s">
        <v>339</v>
      </c>
      <c r="G56" s="26" t="n">
        <v>0</v>
      </c>
      <c r="H56" s="26" t="s">
        <v>1157</v>
      </c>
      <c r="I56" s="26" t="s">
        <v>1144</v>
      </c>
    </row>
    <row r="57" customFormat="false" ht="22.35" hidden="false" customHeight="false" outlineLevel="0" collapsed="false">
      <c r="A57" s="23" t="s">
        <v>1184</v>
      </c>
      <c r="B57" s="23" t="n">
        <v>51</v>
      </c>
      <c r="C57" s="23" t="n">
        <v>90</v>
      </c>
      <c r="D57" s="23" t="n">
        <v>19</v>
      </c>
      <c r="E57" s="23" t="n">
        <v>2.39</v>
      </c>
      <c r="F57" s="23" t="s">
        <v>372</v>
      </c>
      <c r="G57" s="23" t="n">
        <v>0</v>
      </c>
      <c r="H57" s="23" t="s">
        <v>1123</v>
      </c>
      <c r="I57" s="23" t="s">
        <v>1138</v>
      </c>
    </row>
    <row r="58" customFormat="false" ht="22.35" hidden="false" customHeight="false" outlineLevel="0" collapsed="false">
      <c r="A58" s="26" t="s">
        <v>1185</v>
      </c>
      <c r="B58" s="26" t="n">
        <v>46</v>
      </c>
      <c r="C58" s="26" t="n">
        <v>50</v>
      </c>
      <c r="D58" s="26" t="n">
        <v>24</v>
      </c>
      <c r="E58" s="26" t="n">
        <v>2.39</v>
      </c>
      <c r="F58" s="26" t="s">
        <v>372</v>
      </c>
      <c r="G58" s="26" t="n">
        <v>0</v>
      </c>
      <c r="H58" s="26" t="s">
        <v>1123</v>
      </c>
      <c r="I58" s="26" t="s">
        <v>1186</v>
      </c>
    </row>
    <row r="59" customFormat="false" ht="22.35" hidden="false" customHeight="false" outlineLevel="0" collapsed="false">
      <c r="A59" s="23" t="s">
        <v>1187</v>
      </c>
      <c r="B59" s="23" t="n">
        <v>70</v>
      </c>
      <c r="C59" s="23" t="n">
        <v>170</v>
      </c>
      <c r="D59" s="23" t="n">
        <v>60</v>
      </c>
      <c r="E59" s="23" t="n">
        <v>4.72</v>
      </c>
      <c r="F59" s="23" t="s">
        <v>295</v>
      </c>
      <c r="G59" s="23" t="n">
        <v>0</v>
      </c>
      <c r="H59" s="23" t="s">
        <v>1123</v>
      </c>
      <c r="I59" s="23" t="s">
        <v>1188</v>
      </c>
    </row>
    <row r="60" customFormat="false" ht="15" hidden="false" customHeight="false" outlineLevel="0" collapsed="false">
      <c r="A60" s="26" t="s">
        <v>1189</v>
      </c>
      <c r="B60" s="26" t="n">
        <v>68</v>
      </c>
      <c r="C60" s="26" t="n">
        <v>110</v>
      </c>
      <c r="D60" s="26" t="n">
        <v>51</v>
      </c>
      <c r="E60" s="26" t="n">
        <v>0</v>
      </c>
      <c r="F60" s="26" t="s">
        <v>295</v>
      </c>
      <c r="G60" s="26" t="n">
        <v>0</v>
      </c>
      <c r="H60" s="26" t="s">
        <v>1148</v>
      </c>
      <c r="I60" s="26" t="s">
        <v>1137</v>
      </c>
    </row>
    <row r="61" customFormat="false" ht="15" hidden="false" customHeight="false" outlineLevel="0" collapsed="false">
      <c r="A61" s="23" t="s">
        <v>1190</v>
      </c>
      <c r="B61" s="23" t="n">
        <v>55</v>
      </c>
      <c r="C61" s="23" t="n">
        <v>50</v>
      </c>
      <c r="D61" s="23" t="n">
        <v>33</v>
      </c>
      <c r="E61" s="23" t="n">
        <v>0</v>
      </c>
      <c r="F61" s="23" t="s">
        <v>295</v>
      </c>
      <c r="G61" s="23" t="n">
        <v>0</v>
      </c>
      <c r="H61" s="23" t="s">
        <v>1123</v>
      </c>
      <c r="I61" s="23" t="s">
        <v>1191</v>
      </c>
    </row>
    <row r="62" customFormat="false" ht="15" hidden="false" customHeight="false" outlineLevel="0" collapsed="false">
      <c r="A62" s="26" t="s">
        <v>1192</v>
      </c>
      <c r="B62" s="26" t="n">
        <v>47</v>
      </c>
      <c r="C62" s="26" t="n">
        <v>40</v>
      </c>
      <c r="D62" s="26" t="n">
        <v>0</v>
      </c>
      <c r="E62" s="26" t="n">
        <v>1.96</v>
      </c>
      <c r="F62" s="26" t="s">
        <v>295</v>
      </c>
      <c r="G62" s="26" t="n">
        <v>0</v>
      </c>
      <c r="H62" s="26" t="s">
        <v>1123</v>
      </c>
      <c r="I62" s="26" t="s">
        <v>1124</v>
      </c>
    </row>
    <row r="63" customFormat="false" ht="22.35" hidden="false" customHeight="false" outlineLevel="0" collapsed="false">
      <c r="A63" s="23" t="s">
        <v>1193</v>
      </c>
      <c r="B63" s="23" t="n">
        <v>75</v>
      </c>
      <c r="C63" s="23" t="n">
        <v>90</v>
      </c>
      <c r="D63" s="23" t="n">
        <v>46</v>
      </c>
      <c r="E63" s="23" t="n">
        <v>9.58</v>
      </c>
      <c r="F63" s="23" t="s">
        <v>295</v>
      </c>
      <c r="G63" s="23" t="n">
        <v>0</v>
      </c>
      <c r="H63" s="23" t="s">
        <v>1123</v>
      </c>
      <c r="I63" s="23" t="s">
        <v>1138</v>
      </c>
    </row>
    <row r="64" customFormat="false" ht="15" hidden="false" customHeight="false" outlineLevel="0" collapsed="false">
      <c r="A64" s="26" t="s">
        <v>1194</v>
      </c>
      <c r="B64" s="26" t="n">
        <v>62</v>
      </c>
      <c r="C64" s="26" t="n">
        <v>110</v>
      </c>
      <c r="D64" s="26" t="n">
        <v>39</v>
      </c>
      <c r="E64" s="26" t="n">
        <v>10.67</v>
      </c>
      <c r="F64" s="26" t="s">
        <v>295</v>
      </c>
      <c r="G64" s="26" t="n">
        <v>0</v>
      </c>
      <c r="H64" s="26" t="s">
        <v>1148</v>
      </c>
      <c r="I64" s="26" t="s">
        <v>1137</v>
      </c>
    </row>
    <row r="65" customFormat="false" ht="15" hidden="false" customHeight="false" outlineLevel="0" collapsed="false">
      <c r="A65" s="23" t="s">
        <v>1195</v>
      </c>
      <c r="B65" s="23" t="n">
        <v>69</v>
      </c>
      <c r="C65" s="23" t="n">
        <v>40</v>
      </c>
      <c r="D65" s="23" t="n">
        <v>19</v>
      </c>
      <c r="E65" s="23" t="n">
        <v>0</v>
      </c>
      <c r="F65" s="23" t="s">
        <v>295</v>
      </c>
      <c r="G65" s="23" t="n">
        <v>0</v>
      </c>
      <c r="H65" s="23" t="s">
        <v>1148</v>
      </c>
      <c r="I65" s="23" t="s">
        <v>1196</v>
      </c>
    </row>
    <row r="66" customFormat="false" ht="22.35" hidden="false" customHeight="false" outlineLevel="0" collapsed="false">
      <c r="A66" s="26" t="s">
        <v>1197</v>
      </c>
      <c r="B66" s="26" t="n">
        <v>1</v>
      </c>
      <c r="C66" s="26" t="n">
        <v>170</v>
      </c>
      <c r="D66" s="26" t="n">
        <v>50</v>
      </c>
      <c r="E66" s="26" t="n">
        <v>2.39</v>
      </c>
      <c r="F66" s="26" t="s">
        <v>295</v>
      </c>
      <c r="G66" s="26" t="n">
        <v>136</v>
      </c>
      <c r="H66" s="26" t="s">
        <v>1123</v>
      </c>
      <c r="I66" s="26" t="s">
        <v>1198</v>
      </c>
    </row>
    <row r="67" customFormat="false" ht="22.35" hidden="false" customHeight="false" outlineLevel="0" collapsed="false">
      <c r="A67" s="23" t="s">
        <v>1197</v>
      </c>
      <c r="B67" s="23" t="n">
        <v>6</v>
      </c>
      <c r="C67" s="23" t="n">
        <v>170</v>
      </c>
      <c r="D67" s="23" t="n">
        <v>50</v>
      </c>
      <c r="E67" s="23" t="n">
        <v>2.39</v>
      </c>
      <c r="F67" s="23" t="s">
        <v>298</v>
      </c>
      <c r="G67" s="23" t="n">
        <v>1</v>
      </c>
      <c r="H67" s="23" t="s">
        <v>1123</v>
      </c>
      <c r="I67" s="23" t="s">
        <v>1198</v>
      </c>
    </row>
    <row r="68" customFormat="false" ht="22.35" hidden="false" customHeight="false" outlineLevel="0" collapsed="false">
      <c r="A68" s="26" t="s">
        <v>1197</v>
      </c>
      <c r="B68" s="26" t="n">
        <v>10</v>
      </c>
      <c r="C68" s="26" t="n">
        <v>170</v>
      </c>
      <c r="D68" s="26" t="n">
        <v>50</v>
      </c>
      <c r="E68" s="26" t="n">
        <v>2.39</v>
      </c>
      <c r="F68" s="26" t="s">
        <v>303</v>
      </c>
      <c r="G68" s="26" t="n">
        <v>5</v>
      </c>
      <c r="H68" s="26" t="s">
        <v>1123</v>
      </c>
      <c r="I68" s="26" t="s">
        <v>1198</v>
      </c>
    </row>
    <row r="69" customFormat="false" ht="22.35" hidden="false" customHeight="false" outlineLevel="0" collapsed="false">
      <c r="A69" s="23" t="s">
        <v>1197</v>
      </c>
      <c r="B69" s="23" t="n">
        <v>13</v>
      </c>
      <c r="C69" s="23" t="n">
        <v>170</v>
      </c>
      <c r="D69" s="23" t="n">
        <v>50</v>
      </c>
      <c r="E69" s="23" t="n">
        <v>2.39</v>
      </c>
      <c r="F69" s="23" t="s">
        <v>312</v>
      </c>
      <c r="G69" s="23" t="n">
        <v>0</v>
      </c>
      <c r="H69" s="23" t="s">
        <v>1123</v>
      </c>
      <c r="I69" s="23" t="s">
        <v>1198</v>
      </c>
    </row>
    <row r="70" customFormat="false" ht="22.35" hidden="false" customHeight="false" outlineLevel="0" collapsed="false">
      <c r="A70" s="26" t="s">
        <v>1197</v>
      </c>
      <c r="B70" s="26" t="n">
        <v>47</v>
      </c>
      <c r="C70" s="26" t="n">
        <v>170</v>
      </c>
      <c r="D70" s="26" t="n">
        <v>50</v>
      </c>
      <c r="E70" s="26" t="n">
        <v>2.39</v>
      </c>
      <c r="F70" s="26" t="s">
        <v>390</v>
      </c>
      <c r="G70" s="26" t="n">
        <v>0</v>
      </c>
      <c r="H70" s="26" t="s">
        <v>1123</v>
      </c>
      <c r="I70" s="26" t="s">
        <v>1198</v>
      </c>
    </row>
    <row r="71" customFormat="false" ht="22.35" hidden="false" customHeight="false" outlineLevel="0" collapsed="false">
      <c r="A71" s="23" t="s">
        <v>1197</v>
      </c>
      <c r="B71" s="23" t="n">
        <v>61</v>
      </c>
      <c r="C71" s="23" t="n">
        <v>170</v>
      </c>
      <c r="D71" s="23" t="n">
        <v>50</v>
      </c>
      <c r="E71" s="23" t="n">
        <v>2.39</v>
      </c>
      <c r="F71" s="23" t="s">
        <v>319</v>
      </c>
      <c r="G71" s="23" t="n">
        <v>0</v>
      </c>
      <c r="H71" s="23" t="s">
        <v>1123</v>
      </c>
      <c r="I71" s="23" t="s">
        <v>1198</v>
      </c>
    </row>
    <row r="72" customFormat="false" ht="22.35" hidden="false" customHeight="false" outlineLevel="0" collapsed="false">
      <c r="A72" s="26" t="s">
        <v>1197</v>
      </c>
      <c r="B72" s="26" t="n">
        <v>68</v>
      </c>
      <c r="C72" s="26" t="n">
        <v>170</v>
      </c>
      <c r="D72" s="26" t="n">
        <v>50</v>
      </c>
      <c r="E72" s="26" t="n">
        <v>2.39</v>
      </c>
      <c r="F72" s="26" t="s">
        <v>321</v>
      </c>
      <c r="G72" s="26" t="n">
        <v>0</v>
      </c>
      <c r="H72" s="26" t="s">
        <v>1123</v>
      </c>
      <c r="I72" s="26" t="s">
        <v>1198</v>
      </c>
    </row>
    <row r="73" customFormat="false" ht="22.35" hidden="false" customHeight="false" outlineLevel="0" collapsed="false">
      <c r="A73" s="23" t="s">
        <v>1197</v>
      </c>
      <c r="B73" s="23" t="n">
        <v>76</v>
      </c>
      <c r="C73" s="23" t="n">
        <v>170</v>
      </c>
      <c r="D73" s="23" t="n">
        <v>50</v>
      </c>
      <c r="E73" s="23" t="n">
        <v>2.39</v>
      </c>
      <c r="F73" s="23" t="s">
        <v>329</v>
      </c>
      <c r="G73" s="23" t="n">
        <v>0</v>
      </c>
      <c r="H73" s="23" t="s">
        <v>1123</v>
      </c>
      <c r="I73" s="23" t="s">
        <v>1198</v>
      </c>
    </row>
    <row r="74" customFormat="false" ht="22.35" hidden="false" customHeight="false" outlineLevel="0" collapsed="false">
      <c r="A74" s="26" t="s">
        <v>1197</v>
      </c>
      <c r="B74" s="26" t="n">
        <v>77</v>
      </c>
      <c r="C74" s="26" t="n">
        <v>170</v>
      </c>
      <c r="D74" s="26" t="n">
        <v>50</v>
      </c>
      <c r="E74" s="26" t="n">
        <v>2.39</v>
      </c>
      <c r="F74" s="26" t="s">
        <v>329</v>
      </c>
      <c r="G74" s="26" t="n">
        <v>0</v>
      </c>
      <c r="H74" s="26" t="s">
        <v>1123</v>
      </c>
      <c r="I74" s="26" t="s">
        <v>1198</v>
      </c>
    </row>
    <row r="75" customFormat="false" ht="22.35" hidden="false" customHeight="false" outlineLevel="0" collapsed="false">
      <c r="A75" s="23" t="s">
        <v>1197</v>
      </c>
      <c r="B75" s="23" t="n">
        <v>80</v>
      </c>
      <c r="C75" s="23" t="n">
        <v>170</v>
      </c>
      <c r="D75" s="23" t="n">
        <v>50</v>
      </c>
      <c r="E75" s="23" t="n">
        <v>2.39</v>
      </c>
      <c r="F75" s="23" t="s">
        <v>377</v>
      </c>
      <c r="G75" s="23" t="n">
        <v>0</v>
      </c>
      <c r="H75" s="23" t="s">
        <v>1123</v>
      </c>
      <c r="I75" s="23" t="s">
        <v>1198</v>
      </c>
    </row>
    <row r="76" customFormat="false" ht="22.35" hidden="false" customHeight="false" outlineLevel="0" collapsed="false">
      <c r="A76" s="26" t="s">
        <v>1197</v>
      </c>
      <c r="B76" s="26" t="n">
        <v>82</v>
      </c>
      <c r="C76" s="26" t="n">
        <v>170</v>
      </c>
      <c r="D76" s="26" t="n">
        <v>50</v>
      </c>
      <c r="E76" s="26" t="n">
        <v>2.39</v>
      </c>
      <c r="F76" s="26" t="s">
        <v>342</v>
      </c>
      <c r="G76" s="26" t="n">
        <v>0</v>
      </c>
      <c r="H76" s="26" t="s">
        <v>1123</v>
      </c>
      <c r="I76" s="26" t="s">
        <v>1198</v>
      </c>
    </row>
    <row r="77" customFormat="false" ht="22.35" hidden="false" customHeight="false" outlineLevel="0" collapsed="false">
      <c r="A77" s="23" t="s">
        <v>1197</v>
      </c>
      <c r="B77" s="23" t="n">
        <v>84</v>
      </c>
      <c r="C77" s="23" t="n">
        <v>170</v>
      </c>
      <c r="D77" s="23" t="n">
        <v>50</v>
      </c>
      <c r="E77" s="23" t="n">
        <v>2.39</v>
      </c>
      <c r="F77" s="23" t="s">
        <v>372</v>
      </c>
      <c r="G77" s="23" t="n">
        <v>0</v>
      </c>
      <c r="H77" s="23" t="s">
        <v>1123</v>
      </c>
      <c r="I77" s="23" t="s">
        <v>1198</v>
      </c>
    </row>
    <row r="78" customFormat="false" ht="22.35" hidden="false" customHeight="false" outlineLevel="0" collapsed="false">
      <c r="A78" s="26" t="s">
        <v>1197</v>
      </c>
      <c r="B78" s="26" t="n">
        <v>86</v>
      </c>
      <c r="C78" s="26" t="n">
        <v>170</v>
      </c>
      <c r="D78" s="26" t="n">
        <v>50</v>
      </c>
      <c r="E78" s="26" t="n">
        <v>2.39</v>
      </c>
      <c r="F78" s="26" t="s">
        <v>331</v>
      </c>
      <c r="G78" s="26" t="n">
        <v>0</v>
      </c>
      <c r="H78" s="26" t="s">
        <v>1123</v>
      </c>
      <c r="I78" s="26" t="s">
        <v>1198</v>
      </c>
    </row>
    <row r="79" customFormat="false" ht="22.35" hidden="false" customHeight="false" outlineLevel="0" collapsed="false">
      <c r="A79" s="23" t="s">
        <v>1197</v>
      </c>
      <c r="B79" s="23" t="n">
        <v>88</v>
      </c>
      <c r="C79" s="23" t="n">
        <v>170</v>
      </c>
      <c r="D79" s="23" t="n">
        <v>50</v>
      </c>
      <c r="E79" s="23" t="n">
        <v>2.39</v>
      </c>
      <c r="F79" s="23" t="s">
        <v>372</v>
      </c>
      <c r="G79" s="23" t="n">
        <v>0</v>
      </c>
      <c r="H79" s="23" t="s">
        <v>1123</v>
      </c>
      <c r="I79" s="23" t="s">
        <v>1198</v>
      </c>
    </row>
    <row r="80" customFormat="false" ht="22.35" hidden="false" customHeight="false" outlineLevel="0" collapsed="false">
      <c r="A80" s="26" t="s">
        <v>1197</v>
      </c>
      <c r="B80" s="26" t="n">
        <v>90</v>
      </c>
      <c r="C80" s="26" t="n">
        <v>170</v>
      </c>
      <c r="D80" s="26" t="n">
        <v>50</v>
      </c>
      <c r="E80" s="26" t="n">
        <v>2.39</v>
      </c>
      <c r="F80" s="26" t="s">
        <v>374</v>
      </c>
      <c r="G80" s="26" t="n">
        <v>0</v>
      </c>
      <c r="H80" s="26" t="s">
        <v>1123</v>
      </c>
      <c r="I80" s="26" t="s">
        <v>1198</v>
      </c>
    </row>
    <row r="81" customFormat="false" ht="22.35" hidden="false" customHeight="false" outlineLevel="0" collapsed="false">
      <c r="A81" s="23" t="s">
        <v>1197</v>
      </c>
      <c r="B81" s="23" t="n">
        <v>92</v>
      </c>
      <c r="C81" s="23" t="n">
        <v>170</v>
      </c>
      <c r="D81" s="23" t="n">
        <v>50</v>
      </c>
      <c r="E81" s="23" t="n">
        <v>2.39</v>
      </c>
      <c r="F81" s="23" t="s">
        <v>373</v>
      </c>
      <c r="G81" s="23" t="n">
        <v>0</v>
      </c>
      <c r="H81" s="23" t="s">
        <v>1123</v>
      </c>
      <c r="I81" s="23" t="s">
        <v>1198</v>
      </c>
    </row>
    <row r="82" customFormat="false" ht="22.35" hidden="false" customHeight="false" outlineLevel="0" collapsed="false">
      <c r="A82" s="26" t="s">
        <v>1197</v>
      </c>
      <c r="B82" s="26" t="n">
        <v>95</v>
      </c>
      <c r="C82" s="26" t="n">
        <v>170</v>
      </c>
      <c r="D82" s="26" t="n">
        <v>50</v>
      </c>
      <c r="E82" s="26" t="n">
        <v>2.39</v>
      </c>
      <c r="F82" s="26" t="s">
        <v>348</v>
      </c>
      <c r="G82" s="26" t="n">
        <v>0</v>
      </c>
      <c r="H82" s="26" t="s">
        <v>1123</v>
      </c>
      <c r="I82" s="26" t="s">
        <v>1198</v>
      </c>
    </row>
    <row r="83" customFormat="false" ht="15" hidden="false" customHeight="false" outlineLevel="0" collapsed="false">
      <c r="A83" s="23" t="s">
        <v>1199</v>
      </c>
      <c r="B83" s="23" t="n">
        <v>52</v>
      </c>
      <c r="C83" s="23" t="n">
        <v>4400</v>
      </c>
      <c r="D83" s="23" t="n">
        <v>51</v>
      </c>
      <c r="E83" s="23" t="n">
        <v>0.19</v>
      </c>
      <c r="F83" s="23" t="s">
        <v>372</v>
      </c>
      <c r="G83" s="23" t="n">
        <v>0</v>
      </c>
      <c r="H83" s="23" t="s">
        <v>1123</v>
      </c>
      <c r="I83" s="23" t="s">
        <v>1200</v>
      </c>
    </row>
    <row r="84" customFormat="false" ht="22.35" hidden="false" customHeight="false" outlineLevel="0" collapsed="false">
      <c r="A84" s="26" t="s">
        <v>522</v>
      </c>
      <c r="B84" s="26" t="n">
        <v>11</v>
      </c>
      <c r="C84" s="26" t="n">
        <v>210</v>
      </c>
      <c r="D84" s="26" t="n">
        <v>9</v>
      </c>
      <c r="E84" s="26" t="n">
        <v>0</v>
      </c>
      <c r="F84" s="26" t="s">
        <v>386</v>
      </c>
      <c r="G84" s="26" t="n">
        <v>1</v>
      </c>
      <c r="H84" s="26" t="s">
        <v>1157</v>
      </c>
      <c r="I84" s="26" t="s">
        <v>1138</v>
      </c>
    </row>
    <row r="85" customFormat="false" ht="22.35" hidden="false" customHeight="false" outlineLevel="0" collapsed="false">
      <c r="A85" s="23" t="s">
        <v>522</v>
      </c>
      <c r="B85" s="23" t="n">
        <v>21</v>
      </c>
      <c r="C85" s="23" t="n">
        <v>210</v>
      </c>
      <c r="D85" s="23" t="n">
        <v>9</v>
      </c>
      <c r="E85" s="23" t="n">
        <v>0</v>
      </c>
      <c r="F85" s="23" t="s">
        <v>386</v>
      </c>
      <c r="G85" s="23" t="n">
        <v>0</v>
      </c>
      <c r="H85" s="23" t="s">
        <v>1157</v>
      </c>
      <c r="I85" s="23" t="s">
        <v>1138</v>
      </c>
    </row>
    <row r="86" customFormat="false" ht="22.35" hidden="false" customHeight="false" outlineLevel="0" collapsed="false">
      <c r="A86" s="26" t="s">
        <v>522</v>
      </c>
      <c r="B86" s="26" t="n">
        <v>38</v>
      </c>
      <c r="C86" s="26" t="n">
        <v>210</v>
      </c>
      <c r="D86" s="26" t="n">
        <v>9</v>
      </c>
      <c r="E86" s="26" t="n">
        <v>0</v>
      </c>
      <c r="F86" s="26" t="s">
        <v>338</v>
      </c>
      <c r="G86" s="26" t="n">
        <v>0</v>
      </c>
      <c r="H86" s="26" t="s">
        <v>1157</v>
      </c>
      <c r="I86" s="26" t="s">
        <v>1138</v>
      </c>
    </row>
    <row r="87" customFormat="false" ht="22.35" hidden="false" customHeight="false" outlineLevel="0" collapsed="false">
      <c r="A87" s="23" t="s">
        <v>522</v>
      </c>
      <c r="B87" s="23" t="n">
        <v>54</v>
      </c>
      <c r="C87" s="23" t="n">
        <v>210</v>
      </c>
      <c r="D87" s="23" t="n">
        <v>9</v>
      </c>
      <c r="E87" s="23" t="n">
        <v>0</v>
      </c>
      <c r="F87" s="23" t="s">
        <v>338</v>
      </c>
      <c r="G87" s="23" t="n">
        <v>0</v>
      </c>
      <c r="H87" s="23" t="s">
        <v>1157</v>
      </c>
      <c r="I87" s="23" t="s">
        <v>1138</v>
      </c>
    </row>
    <row r="88" customFormat="false" ht="15" hidden="false" customHeight="false" outlineLevel="0" collapsed="false">
      <c r="A88" s="26" t="s">
        <v>510</v>
      </c>
      <c r="B88" s="26" t="n">
        <v>32</v>
      </c>
      <c r="C88" s="26" t="n">
        <v>170</v>
      </c>
      <c r="D88" s="26" t="n">
        <v>21</v>
      </c>
      <c r="E88" s="26" t="n">
        <v>0</v>
      </c>
      <c r="F88" s="26" t="s">
        <v>369</v>
      </c>
      <c r="G88" s="26" t="n">
        <v>0</v>
      </c>
      <c r="H88" s="26" t="s">
        <v>1123</v>
      </c>
      <c r="I88" s="26" t="s">
        <v>1137</v>
      </c>
    </row>
    <row r="89" customFormat="false" ht="15" hidden="false" customHeight="false" outlineLevel="0" collapsed="false">
      <c r="A89" s="23" t="s">
        <v>1201</v>
      </c>
      <c r="B89" s="23" t="n">
        <v>1</v>
      </c>
      <c r="C89" s="23" t="n">
        <v>90</v>
      </c>
      <c r="D89" s="23" t="n">
        <v>18</v>
      </c>
      <c r="E89" s="23" t="n">
        <v>43.1</v>
      </c>
      <c r="F89" s="23" t="s">
        <v>328</v>
      </c>
      <c r="G89" s="23" t="n">
        <v>0</v>
      </c>
      <c r="H89" s="23" t="s">
        <v>1123</v>
      </c>
      <c r="I89" s="23" t="s">
        <v>1146</v>
      </c>
    </row>
    <row r="90" customFormat="false" ht="22.35" hidden="false" customHeight="false" outlineLevel="0" collapsed="false">
      <c r="A90" s="26" t="s">
        <v>1202</v>
      </c>
      <c r="B90" s="26" t="n">
        <v>47</v>
      </c>
      <c r="C90" s="26" t="n">
        <v>40</v>
      </c>
      <c r="D90" s="26"/>
      <c r="E90" s="26" t="n">
        <v>0</v>
      </c>
      <c r="F90" s="26" t="s">
        <v>317</v>
      </c>
      <c r="G90" s="26" t="n">
        <v>0</v>
      </c>
      <c r="H90" s="26" t="s">
        <v>1157</v>
      </c>
      <c r="I90" s="26" t="s">
        <v>1203</v>
      </c>
    </row>
    <row r="91" customFormat="false" ht="22.35" hidden="false" customHeight="false" outlineLevel="0" collapsed="false">
      <c r="A91" s="23" t="s">
        <v>1202</v>
      </c>
      <c r="B91" s="23" t="n">
        <v>50</v>
      </c>
      <c r="C91" s="23" t="n">
        <v>40</v>
      </c>
      <c r="D91" s="23"/>
      <c r="E91" s="23" t="n">
        <v>0</v>
      </c>
      <c r="F91" s="23" t="s">
        <v>317</v>
      </c>
      <c r="G91" s="23" t="n">
        <v>0</v>
      </c>
      <c r="H91" s="23" t="s">
        <v>1157</v>
      </c>
      <c r="I91" s="23" t="s">
        <v>1203</v>
      </c>
    </row>
    <row r="92" customFormat="false" ht="15" hidden="false" customHeight="false" outlineLevel="0" collapsed="false">
      <c r="A92" s="26" t="s">
        <v>1204</v>
      </c>
      <c r="B92" s="26" t="n">
        <v>52</v>
      </c>
      <c r="C92" s="26" t="n">
        <v>40</v>
      </c>
      <c r="D92" s="26" t="n">
        <v>33</v>
      </c>
      <c r="E92" s="26" t="n">
        <v>0</v>
      </c>
      <c r="F92" s="26" t="s">
        <v>317</v>
      </c>
      <c r="G92" s="26" t="n">
        <v>0</v>
      </c>
      <c r="H92" s="26" t="s">
        <v>1157</v>
      </c>
      <c r="I92" s="26" t="s">
        <v>1137</v>
      </c>
    </row>
    <row r="93" customFormat="false" ht="15" hidden="false" customHeight="false" outlineLevel="0" collapsed="false">
      <c r="A93" s="23" t="s">
        <v>1204</v>
      </c>
      <c r="B93" s="23" t="n">
        <v>69</v>
      </c>
      <c r="C93" s="23" t="n">
        <v>40</v>
      </c>
      <c r="D93" s="23" t="n">
        <v>33</v>
      </c>
      <c r="E93" s="23" t="n">
        <v>0</v>
      </c>
      <c r="F93" s="23" t="s">
        <v>317</v>
      </c>
      <c r="G93" s="23" t="n">
        <v>0</v>
      </c>
      <c r="H93" s="23" t="s">
        <v>1157</v>
      </c>
      <c r="I93" s="23" t="s">
        <v>1137</v>
      </c>
    </row>
    <row r="94" customFormat="false" ht="15" hidden="false" customHeight="false" outlineLevel="0" collapsed="false">
      <c r="A94" s="26" t="s">
        <v>1205</v>
      </c>
      <c r="B94" s="26" t="n">
        <v>39</v>
      </c>
      <c r="C94" s="26" t="n">
        <v>50</v>
      </c>
      <c r="D94" s="26"/>
      <c r="E94" s="26" t="n">
        <v>0</v>
      </c>
      <c r="F94" s="26" t="s">
        <v>317</v>
      </c>
      <c r="G94" s="26" t="n">
        <v>0</v>
      </c>
      <c r="H94" s="26" t="s">
        <v>1131</v>
      </c>
      <c r="I94" s="26" t="s">
        <v>1137</v>
      </c>
    </row>
    <row r="95" customFormat="false" ht="15" hidden="false" customHeight="false" outlineLevel="0" collapsed="false">
      <c r="A95" s="23" t="s">
        <v>1206</v>
      </c>
      <c r="B95" s="23" t="n">
        <v>14</v>
      </c>
      <c r="C95" s="23" t="n">
        <v>30</v>
      </c>
      <c r="D95" s="23" t="n">
        <v>27</v>
      </c>
      <c r="E95" s="23" t="n">
        <v>31.71</v>
      </c>
      <c r="F95" s="23" t="s">
        <v>327</v>
      </c>
      <c r="G95" s="23" t="n">
        <v>0</v>
      </c>
      <c r="H95" s="23" t="s">
        <v>1148</v>
      </c>
      <c r="I95" s="23" t="s">
        <v>1207</v>
      </c>
    </row>
    <row r="96" customFormat="false" ht="15" hidden="false" customHeight="false" outlineLevel="0" collapsed="false">
      <c r="A96" s="26" t="s">
        <v>1206</v>
      </c>
      <c r="B96" s="26" t="n">
        <v>19</v>
      </c>
      <c r="C96" s="26" t="n">
        <v>30</v>
      </c>
      <c r="D96" s="26" t="n">
        <v>27</v>
      </c>
      <c r="E96" s="26" t="n">
        <v>31.71</v>
      </c>
      <c r="F96" s="26" t="s">
        <v>295</v>
      </c>
      <c r="G96" s="26" t="n">
        <v>0</v>
      </c>
      <c r="H96" s="26" t="s">
        <v>1148</v>
      </c>
      <c r="I96" s="26" t="s">
        <v>1207</v>
      </c>
    </row>
    <row r="97" customFormat="false" ht="15" hidden="false" customHeight="false" outlineLevel="0" collapsed="false">
      <c r="A97" s="23" t="s">
        <v>1208</v>
      </c>
      <c r="B97" s="23" t="n">
        <v>3</v>
      </c>
      <c r="C97" s="23" t="n">
        <v>50</v>
      </c>
      <c r="D97" s="23" t="n">
        <v>36</v>
      </c>
      <c r="E97" s="23" t="n">
        <v>0</v>
      </c>
      <c r="F97" s="23" t="s">
        <v>295</v>
      </c>
      <c r="G97" s="23" t="n">
        <v>0</v>
      </c>
      <c r="H97" s="23" t="s">
        <v>1171</v>
      </c>
      <c r="I97" s="23" t="s">
        <v>1209</v>
      </c>
    </row>
    <row r="98" customFormat="false" ht="15" hidden="false" customHeight="false" outlineLevel="0" collapsed="false">
      <c r="A98" s="26" t="s">
        <v>1208</v>
      </c>
      <c r="B98" s="26" t="n">
        <v>18</v>
      </c>
      <c r="C98" s="26" t="n">
        <v>50</v>
      </c>
      <c r="D98" s="26" t="n">
        <v>36</v>
      </c>
      <c r="E98" s="26" t="n">
        <v>0</v>
      </c>
      <c r="F98" s="26" t="s">
        <v>298</v>
      </c>
      <c r="G98" s="26" t="n">
        <v>0</v>
      </c>
      <c r="H98" s="26" t="s">
        <v>1171</v>
      </c>
      <c r="I98" s="26" t="s">
        <v>1209</v>
      </c>
    </row>
    <row r="99" customFormat="false" ht="22.35" hidden="false" customHeight="false" outlineLevel="0" collapsed="false">
      <c r="A99" s="23" t="s">
        <v>1210</v>
      </c>
      <c r="B99" s="23" t="n">
        <v>20</v>
      </c>
      <c r="C99" s="23" t="n">
        <v>110</v>
      </c>
      <c r="D99" s="23" t="n">
        <v>17</v>
      </c>
      <c r="E99" s="23" t="n">
        <v>25.95</v>
      </c>
      <c r="F99" s="23" t="s">
        <v>337</v>
      </c>
      <c r="G99" s="23" t="n">
        <v>0</v>
      </c>
      <c r="H99" s="23" t="s">
        <v>1123</v>
      </c>
      <c r="I99" s="23" t="s">
        <v>1211</v>
      </c>
    </row>
    <row r="100" customFormat="false" ht="22.35" hidden="false" customHeight="false" outlineLevel="0" collapsed="false">
      <c r="A100" s="26" t="s">
        <v>1210</v>
      </c>
      <c r="B100" s="26" t="n">
        <v>21</v>
      </c>
      <c r="C100" s="26" t="n">
        <v>110</v>
      </c>
      <c r="D100" s="26" t="n">
        <v>17</v>
      </c>
      <c r="E100" s="26" t="n">
        <v>25.95</v>
      </c>
      <c r="F100" s="26" t="s">
        <v>337</v>
      </c>
      <c r="G100" s="26" t="n">
        <v>0</v>
      </c>
      <c r="H100" s="26" t="s">
        <v>1123</v>
      </c>
      <c r="I100" s="26" t="s">
        <v>1211</v>
      </c>
    </row>
  </sheetData>
  <autoFilter ref="A4:I1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F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1212</v>
      </c>
    </row>
    <row r="2" customFormat="false" ht="15" hidden="false" customHeight="false" outlineLevel="0" collapsed="false">
      <c r="A2" s="2" t="s">
        <v>1213</v>
      </c>
    </row>
    <row r="4" customFormat="false" ht="30" hidden="false" customHeight="true" outlineLevel="0" collapsed="false">
      <c r="A4" s="25" t="s">
        <v>1214</v>
      </c>
      <c r="B4" s="25" t="s">
        <v>8</v>
      </c>
      <c r="C4" s="25" t="s">
        <v>9</v>
      </c>
      <c r="D4" s="25" t="s">
        <v>26</v>
      </c>
      <c r="E4" s="25" t="s">
        <v>10</v>
      </c>
      <c r="F4" s="25" t="s">
        <v>7</v>
      </c>
    </row>
    <row r="5" customFormat="false" ht="15" hidden="false" customHeight="false" outlineLevel="0" collapsed="false">
      <c r="A5" s="41" t="n">
        <v>46214</v>
      </c>
      <c r="B5" s="23" t="n">
        <v>0</v>
      </c>
      <c r="C5" s="23" t="n">
        <v>183</v>
      </c>
      <c r="D5" s="30" t="n">
        <f aca="false">IFERROR(B5/C5,0)</f>
        <v>0</v>
      </c>
      <c r="E5" s="23" t="n">
        <v>24.2</v>
      </c>
      <c r="F5" s="23" t="str">
        <f aca="false">TEXT(A5,"yyyy-mm")</f>
        <v>2026-07</v>
      </c>
    </row>
    <row r="6" customFormat="false" ht="15" hidden="false" customHeight="false" outlineLevel="0" collapsed="false">
      <c r="A6" s="42" t="n">
        <v>46215</v>
      </c>
      <c r="B6" s="26" t="n">
        <v>2</v>
      </c>
      <c r="C6" s="26" t="n">
        <v>238</v>
      </c>
      <c r="D6" s="35" t="n">
        <f aca="false">IFERROR(B6/C6,0)</f>
        <v>0.00840336134453782</v>
      </c>
      <c r="E6" s="26" t="n">
        <v>20</v>
      </c>
      <c r="F6" s="26" t="str">
        <f aca="false">TEXT(A6,"yyyy-mm")</f>
        <v>2026-07</v>
      </c>
    </row>
    <row r="7" customFormat="false" ht="15" hidden="false" customHeight="false" outlineLevel="0" collapsed="false">
      <c r="A7" s="41" t="n">
        <v>46216</v>
      </c>
      <c r="B7" s="23" t="n">
        <v>9</v>
      </c>
      <c r="C7" s="23" t="n">
        <v>239</v>
      </c>
      <c r="D7" s="30" t="n">
        <f aca="false">IFERROR(B7/C7,0)</f>
        <v>0.0376569037656904</v>
      </c>
      <c r="E7" s="23" t="n">
        <v>20.5</v>
      </c>
      <c r="F7" s="23" t="str">
        <f aca="false">TEXT(A7,"yyyy-mm")</f>
        <v>2026-07</v>
      </c>
    </row>
    <row r="8" customFormat="false" ht="15" hidden="false" customHeight="false" outlineLevel="0" collapsed="false">
      <c r="A8" s="42" t="n">
        <v>46217</v>
      </c>
      <c r="B8" s="26" t="n">
        <v>14</v>
      </c>
      <c r="C8" s="26" t="n">
        <v>279</v>
      </c>
      <c r="D8" s="35" t="n">
        <f aca="false">IFERROR(B8/C8,0)</f>
        <v>0.0501792114695341</v>
      </c>
      <c r="E8" s="26" t="n">
        <v>15.3</v>
      </c>
      <c r="F8" s="26" t="str">
        <f aca="false">TEXT(A8,"yyyy-mm")</f>
        <v>2026-07</v>
      </c>
    </row>
    <row r="9" customFormat="false" ht="15" hidden="false" customHeight="false" outlineLevel="0" collapsed="false">
      <c r="A9" s="41" t="n">
        <v>46218</v>
      </c>
      <c r="B9" s="23" t="n">
        <v>5</v>
      </c>
      <c r="C9" s="23" t="n">
        <v>274</v>
      </c>
      <c r="D9" s="30" t="n">
        <f aca="false">IFERROR(B9/C9,0)</f>
        <v>0.0182481751824818</v>
      </c>
      <c r="E9" s="23" t="n">
        <v>23.3</v>
      </c>
      <c r="F9" s="23" t="str">
        <f aca="false">TEXT(A9,"yyyy-mm")</f>
        <v>2026-07</v>
      </c>
    </row>
    <row r="10" customFormat="false" ht="15" hidden="false" customHeight="false" outlineLevel="0" collapsed="false">
      <c r="A10" s="42" t="n">
        <v>46219</v>
      </c>
      <c r="B10" s="26" t="n">
        <v>11</v>
      </c>
      <c r="C10" s="26" t="n">
        <v>303</v>
      </c>
      <c r="D10" s="35" t="n">
        <f aca="false">IFERROR(B10/C10,0)</f>
        <v>0.0363036303630363</v>
      </c>
      <c r="E10" s="26" t="n">
        <v>24.1</v>
      </c>
      <c r="F10" s="26" t="str">
        <f aca="false">TEXT(A10,"yyyy-mm")</f>
        <v>2026-07</v>
      </c>
    </row>
    <row r="11" customFormat="false" ht="15" hidden="false" customHeight="false" outlineLevel="0" collapsed="false">
      <c r="A11" s="41" t="n">
        <v>46220</v>
      </c>
      <c r="B11" s="23" t="n">
        <v>2</v>
      </c>
      <c r="C11" s="23" t="n">
        <v>239</v>
      </c>
      <c r="D11" s="30" t="n">
        <f aca="false">IFERROR(B11/C11,0)</f>
        <v>0.00836820083682008</v>
      </c>
      <c r="E11" s="23" t="n">
        <v>25</v>
      </c>
      <c r="F11" s="23" t="str">
        <f aca="false">TEXT(A11,"yyyy-mm")</f>
        <v>2026-07</v>
      </c>
    </row>
    <row r="12" customFormat="false" ht="15" hidden="false" customHeight="false" outlineLevel="0" collapsed="false">
      <c r="A12" s="42" t="n">
        <v>46221</v>
      </c>
      <c r="B12" s="26" t="n">
        <v>0</v>
      </c>
      <c r="C12" s="26" t="n">
        <v>199</v>
      </c>
      <c r="D12" s="35" t="n">
        <f aca="false">IFERROR(B12/C12,0)</f>
        <v>0</v>
      </c>
      <c r="E12" s="26" t="n">
        <v>22.1</v>
      </c>
      <c r="F12" s="26" t="str">
        <f aca="false">TEXT(A12,"yyyy-mm")</f>
        <v>2026-07</v>
      </c>
    </row>
    <row r="13" customFormat="false" ht="15" hidden="false" customHeight="false" outlineLevel="0" collapsed="false">
      <c r="A13" s="41" t="n">
        <v>46222</v>
      </c>
      <c r="B13" s="23" t="n">
        <v>1</v>
      </c>
      <c r="C13" s="23" t="n">
        <v>231</v>
      </c>
      <c r="D13" s="30" t="n">
        <f aca="false">IFERROR(B13/C13,0)</f>
        <v>0.00432900432900433</v>
      </c>
      <c r="E13" s="23" t="n">
        <v>20.8</v>
      </c>
      <c r="F13" s="23" t="str">
        <f aca="false">TEXT(A13,"yyyy-mm")</f>
        <v>2026-07</v>
      </c>
    </row>
    <row r="14" customFormat="false" ht="15" hidden="false" customHeight="false" outlineLevel="0" collapsed="false">
      <c r="A14" s="42" t="n">
        <v>46223</v>
      </c>
      <c r="B14" s="26" t="n">
        <v>10</v>
      </c>
      <c r="C14" s="26" t="n">
        <v>298</v>
      </c>
      <c r="D14" s="35" t="n">
        <f aca="false">IFERROR(B14/C14,0)</f>
        <v>0.0335570469798658</v>
      </c>
      <c r="E14" s="26" t="n">
        <v>21.5</v>
      </c>
      <c r="F14" s="26" t="str">
        <f aca="false">TEXT(A14,"yyyy-mm")</f>
        <v>2026-07</v>
      </c>
    </row>
    <row r="15" customFormat="false" ht="15" hidden="false" customHeight="false" outlineLevel="0" collapsed="false">
      <c r="A15" s="41" t="n">
        <v>46224</v>
      </c>
      <c r="B15" s="23" t="n">
        <v>12</v>
      </c>
      <c r="C15" s="23" t="n">
        <v>269</v>
      </c>
      <c r="D15" s="30" t="n">
        <f aca="false">IFERROR(B15/C15,0)</f>
        <v>0.0446096654275093</v>
      </c>
      <c r="E15" s="23" t="n">
        <v>19.1</v>
      </c>
      <c r="F15" s="23" t="str">
        <f aca="false">TEXT(A15,"yyyy-mm")</f>
        <v>2026-07</v>
      </c>
    </row>
    <row r="16" customFormat="false" ht="15" hidden="false" customHeight="false" outlineLevel="0" collapsed="false">
      <c r="A16" s="42" t="n">
        <v>46225</v>
      </c>
      <c r="B16" s="26" t="n">
        <v>13</v>
      </c>
      <c r="C16" s="26" t="n">
        <v>319</v>
      </c>
      <c r="D16" s="35" t="n">
        <f aca="false">IFERROR(B16/C16,0)</f>
        <v>0.0407523510971787</v>
      </c>
      <c r="E16" s="26" t="n">
        <v>20.4</v>
      </c>
      <c r="F16" s="26" t="str">
        <f aca="false">TEXT(A16,"yyyy-mm")</f>
        <v>2026-07</v>
      </c>
    </row>
    <row r="17" customFormat="false" ht="15" hidden="false" customHeight="false" outlineLevel="0" collapsed="false">
      <c r="A17" s="41" t="n">
        <v>46226</v>
      </c>
      <c r="B17" s="23" t="n">
        <v>11</v>
      </c>
      <c r="C17" s="23" t="n">
        <v>319</v>
      </c>
      <c r="D17" s="30" t="n">
        <f aca="false">IFERROR(B17/C17,0)</f>
        <v>0.0344827586206897</v>
      </c>
      <c r="E17" s="23" t="n">
        <v>17.9</v>
      </c>
      <c r="F17" s="23" t="str">
        <f aca="false">TEXT(A17,"yyyy-mm")</f>
        <v>2026-07</v>
      </c>
    </row>
    <row r="18" customFormat="false" ht="15" hidden="false" customHeight="false" outlineLevel="0" collapsed="false">
      <c r="A18" s="42" t="n">
        <v>46227</v>
      </c>
      <c r="B18" s="26" t="n">
        <v>10</v>
      </c>
      <c r="C18" s="26" t="n">
        <v>274</v>
      </c>
      <c r="D18" s="35" t="n">
        <f aca="false">IFERROR(B18/C18,0)</f>
        <v>0.0364963503649635</v>
      </c>
      <c r="E18" s="26" t="n">
        <v>23.5</v>
      </c>
      <c r="F18" s="26" t="str">
        <f aca="false">TEXT(A18,"yyyy-mm")</f>
        <v>2026-07</v>
      </c>
    </row>
    <row r="19" customFormat="false" ht="15" hidden="false" customHeight="false" outlineLevel="0" collapsed="false">
      <c r="A19" s="41" t="n">
        <v>46228</v>
      </c>
      <c r="B19" s="23" t="n">
        <v>5</v>
      </c>
      <c r="C19" s="23" t="n">
        <v>238</v>
      </c>
      <c r="D19" s="30" t="n">
        <f aca="false">IFERROR(B19/C19,0)</f>
        <v>0.0210084033613445</v>
      </c>
      <c r="E19" s="23" t="n">
        <v>23.3</v>
      </c>
      <c r="F19" s="23" t="str">
        <f aca="false">TEXT(A19,"yyyy-mm")</f>
        <v>2026-07</v>
      </c>
    </row>
    <row r="20" customFormat="false" ht="15" hidden="false" customHeight="false" outlineLevel="0" collapsed="false">
      <c r="A20" s="42" t="n">
        <v>46229</v>
      </c>
      <c r="B20" s="26" t="n">
        <v>4</v>
      </c>
      <c r="C20" s="26" t="n">
        <v>257</v>
      </c>
      <c r="D20" s="35" t="n">
        <f aca="false">IFERROR(B20/C20,0)</f>
        <v>0.0155642023346304</v>
      </c>
      <c r="E20" s="26" t="n">
        <v>17.4</v>
      </c>
      <c r="F20" s="26" t="str">
        <f aca="false">TEXT(A20,"yyyy-mm")</f>
        <v>2026-07</v>
      </c>
    </row>
    <row r="21" customFormat="false" ht="15" hidden="false" customHeight="false" outlineLevel="0" collapsed="false">
      <c r="A21" s="41" t="n">
        <v>46230</v>
      </c>
      <c r="B21" s="23" t="n">
        <v>12</v>
      </c>
      <c r="C21" s="23" t="n">
        <v>378</v>
      </c>
      <c r="D21" s="30" t="n">
        <f aca="false">IFERROR(B21/C21,0)</f>
        <v>0.0317460317460317</v>
      </c>
      <c r="E21" s="23" t="n">
        <v>19.2</v>
      </c>
      <c r="F21" s="23" t="str">
        <f aca="false">TEXT(A21,"yyyy-mm")</f>
        <v>2026-07</v>
      </c>
    </row>
    <row r="22" customFormat="false" ht="15" hidden="false" customHeight="false" outlineLevel="0" collapsed="false">
      <c r="A22" s="42" t="n">
        <v>46231</v>
      </c>
      <c r="B22" s="26" t="n">
        <v>11</v>
      </c>
      <c r="C22" s="26" t="n">
        <v>315</v>
      </c>
      <c r="D22" s="35" t="n">
        <f aca="false">IFERROR(B22/C22,0)</f>
        <v>0.0349206349206349</v>
      </c>
      <c r="E22" s="26" t="n">
        <v>23.4</v>
      </c>
      <c r="F22" s="26" t="str">
        <f aca="false">TEXT(A22,"yyyy-mm")</f>
        <v>2026-07</v>
      </c>
    </row>
    <row r="23" customFormat="false" ht="15" hidden="false" customHeight="false" outlineLevel="0" collapsed="false">
      <c r="A23" s="41" t="n">
        <v>46232</v>
      </c>
      <c r="B23" s="23" t="n">
        <v>5</v>
      </c>
      <c r="C23" s="23" t="n">
        <v>317</v>
      </c>
      <c r="D23" s="30" t="n">
        <f aca="false">IFERROR(B23/C23,0)</f>
        <v>0.0157728706624606</v>
      </c>
      <c r="E23" s="23" t="n">
        <v>21.6</v>
      </c>
      <c r="F23" s="23" t="str">
        <f aca="false">TEXT(A23,"yyyy-mm")</f>
        <v>2026-07</v>
      </c>
    </row>
    <row r="24" customFormat="false" ht="15" hidden="false" customHeight="false" outlineLevel="0" collapsed="false">
      <c r="A24" s="42" t="n">
        <v>46233</v>
      </c>
      <c r="B24" s="26" t="n">
        <v>16</v>
      </c>
      <c r="C24" s="26" t="n">
        <v>515</v>
      </c>
      <c r="D24" s="35" t="n">
        <f aca="false">IFERROR(B24/C24,0)</f>
        <v>0.0310679611650485</v>
      </c>
      <c r="E24" s="26" t="n">
        <v>24</v>
      </c>
      <c r="F24" s="26" t="str">
        <f aca="false">TEXT(A24,"yyyy-mm")</f>
        <v>2026-07</v>
      </c>
    </row>
    <row r="25" customFormat="false" ht="15" hidden="false" customHeight="false" outlineLevel="0" collapsed="false">
      <c r="A25" s="41" t="n">
        <v>46234</v>
      </c>
      <c r="B25" s="23" t="n">
        <v>10</v>
      </c>
      <c r="C25" s="23" t="n">
        <v>307</v>
      </c>
      <c r="D25" s="30" t="n">
        <f aca="false">IFERROR(B25/C25,0)</f>
        <v>0.0325732899022801</v>
      </c>
      <c r="E25" s="23" t="n">
        <v>23.3</v>
      </c>
      <c r="F25" s="23" t="str">
        <f aca="false">TEXT(A25,"yyyy-mm")</f>
        <v>2026-07</v>
      </c>
    </row>
    <row r="26" customFormat="false" ht="15" hidden="false" customHeight="false" outlineLevel="0" collapsed="false">
      <c r="A26" s="42" t="n">
        <v>46235</v>
      </c>
      <c r="B26" s="26" t="n">
        <v>3</v>
      </c>
      <c r="C26" s="26" t="n">
        <v>261</v>
      </c>
      <c r="D26" s="35" t="n">
        <f aca="false">IFERROR(B26/C26,0)</f>
        <v>0.0114942528735632</v>
      </c>
      <c r="E26" s="26" t="n">
        <v>29.3</v>
      </c>
      <c r="F26" s="26" t="str">
        <f aca="false">TEXT(A26,"yyyy-mm")</f>
        <v>2026-08</v>
      </c>
    </row>
    <row r="27" customFormat="false" ht="15" hidden="false" customHeight="false" outlineLevel="0" collapsed="false">
      <c r="A27" s="41" t="n">
        <v>46236</v>
      </c>
      <c r="B27" s="23" t="n">
        <v>3</v>
      </c>
      <c r="C27" s="23" t="n">
        <v>336</v>
      </c>
      <c r="D27" s="30" t="n">
        <f aca="false">IFERROR(B27/C27,0)</f>
        <v>0.00892857142857143</v>
      </c>
      <c r="E27" s="23" t="n">
        <v>21.8</v>
      </c>
      <c r="F27" s="23" t="str">
        <f aca="false">TEXT(A27,"yyyy-mm")</f>
        <v>2026-08</v>
      </c>
    </row>
    <row r="28" customFormat="false" ht="15" hidden="false" customHeight="false" outlineLevel="0" collapsed="false">
      <c r="A28" s="42" t="n">
        <v>46237</v>
      </c>
      <c r="B28" s="26" t="n">
        <v>17</v>
      </c>
      <c r="C28" s="26" t="n">
        <v>304</v>
      </c>
      <c r="D28" s="35" t="n">
        <f aca="false">IFERROR(B28/C28,0)</f>
        <v>0.055921052631579</v>
      </c>
      <c r="E28" s="26" t="n">
        <v>23.1</v>
      </c>
      <c r="F28" s="26" t="str">
        <f aca="false">TEXT(A28,"yyyy-mm")</f>
        <v>2026-08</v>
      </c>
    </row>
    <row r="29" customFormat="false" ht="15" hidden="false" customHeight="false" outlineLevel="0" collapsed="false">
      <c r="A29" s="41" t="n">
        <v>46238</v>
      </c>
      <c r="B29" s="23" t="n">
        <v>10</v>
      </c>
      <c r="C29" s="23" t="n">
        <v>495</v>
      </c>
      <c r="D29" s="30" t="n">
        <f aca="false">IFERROR(B29/C29,0)</f>
        <v>0.0202020202020202</v>
      </c>
      <c r="E29" s="23" t="n">
        <v>18.4</v>
      </c>
      <c r="F29" s="23" t="str">
        <f aca="false">TEXT(A29,"yyyy-mm")</f>
        <v>2026-08</v>
      </c>
    </row>
    <row r="30" customFormat="false" ht="15" hidden="false" customHeight="false" outlineLevel="0" collapsed="false">
      <c r="A30" s="42" t="n">
        <v>46239</v>
      </c>
      <c r="B30" s="26" t="n">
        <v>18</v>
      </c>
      <c r="C30" s="26" t="n">
        <v>620</v>
      </c>
      <c r="D30" s="35" t="n">
        <f aca="false">IFERROR(B30/C30,0)</f>
        <v>0.0290322580645161</v>
      </c>
      <c r="E30" s="26" t="n">
        <v>19.2</v>
      </c>
      <c r="F30" s="26" t="str">
        <f aca="false">TEXT(A30,"yyyy-mm")</f>
        <v>2026-08</v>
      </c>
    </row>
    <row r="31" customFormat="false" ht="15" hidden="false" customHeight="false" outlineLevel="0" collapsed="false">
      <c r="A31" s="41" t="n">
        <v>46240</v>
      </c>
      <c r="B31" s="23" t="n">
        <v>15</v>
      </c>
      <c r="C31" s="23" t="n">
        <v>509</v>
      </c>
      <c r="D31" s="30" t="n">
        <f aca="false">IFERROR(B31/C31,0)</f>
        <v>0.0294695481335953</v>
      </c>
      <c r="E31" s="23" t="n">
        <v>19.9</v>
      </c>
      <c r="F31" s="23" t="str">
        <f aca="false">TEXT(A31,"yyyy-mm")</f>
        <v>2026-08</v>
      </c>
    </row>
    <row r="32" customFormat="false" ht="15" hidden="false" customHeight="false" outlineLevel="0" collapsed="false">
      <c r="A32" s="42" t="n">
        <v>46241</v>
      </c>
      <c r="B32" s="26" t="n">
        <v>14</v>
      </c>
      <c r="C32" s="26" t="n">
        <v>341</v>
      </c>
      <c r="D32" s="35" t="n">
        <f aca="false">IFERROR(B32/C32,0)</f>
        <v>0.0410557184750733</v>
      </c>
      <c r="E32" s="26" t="n">
        <v>15.7</v>
      </c>
      <c r="F32" s="26" t="str">
        <f aca="false">TEXT(A32,"yyyy-mm")</f>
        <v>2026-08</v>
      </c>
    </row>
    <row r="33" customFormat="false" ht="15" hidden="false" customHeight="false" outlineLevel="0" collapsed="false">
      <c r="A33" s="41" t="n">
        <v>46242</v>
      </c>
      <c r="B33" s="23" t="n">
        <v>4</v>
      </c>
      <c r="C33" s="23" t="n">
        <v>249</v>
      </c>
      <c r="D33" s="30" t="n">
        <f aca="false">IFERROR(B33/C33,0)</f>
        <v>0.0160642570281125</v>
      </c>
      <c r="E33" s="23" t="n">
        <v>19</v>
      </c>
      <c r="F33" s="23" t="str">
        <f aca="false">TEXT(A33,"yyyy-mm")</f>
        <v>2026-08</v>
      </c>
    </row>
    <row r="34" customFormat="false" ht="15" hidden="false" customHeight="false" outlineLevel="0" collapsed="false">
      <c r="A34" s="42" t="n">
        <v>46243</v>
      </c>
      <c r="B34" s="26" t="n">
        <v>2</v>
      </c>
      <c r="C34" s="26" t="n">
        <v>417</v>
      </c>
      <c r="D34" s="35" t="n">
        <f aca="false">IFERROR(B34/C34,0)</f>
        <v>0.00479616306954436</v>
      </c>
      <c r="E34" s="26" t="n">
        <v>18.4</v>
      </c>
      <c r="F34" s="26" t="str">
        <f aca="false">TEXT(A34,"yyyy-mm")</f>
        <v>2026-08</v>
      </c>
    </row>
    <row r="35" customFormat="false" ht="15" hidden="false" customHeight="false" outlineLevel="0" collapsed="false">
      <c r="A35" s="41" t="n">
        <v>46244</v>
      </c>
      <c r="B35" s="23" t="n">
        <v>13</v>
      </c>
      <c r="C35" s="23" t="n">
        <v>503</v>
      </c>
      <c r="D35" s="30" t="n">
        <f aca="false">IFERROR(B35/C35,0)</f>
        <v>0.025844930417495</v>
      </c>
      <c r="E35" s="23" t="n">
        <v>17</v>
      </c>
      <c r="F35" s="23" t="str">
        <f aca="false">TEXT(A35,"yyyy-mm")</f>
        <v>2026-08</v>
      </c>
    </row>
    <row r="36" customFormat="false" ht="15" hidden="false" customHeight="false" outlineLevel="0" collapsed="false">
      <c r="A36" s="42" t="n">
        <v>46245</v>
      </c>
      <c r="B36" s="26" t="n">
        <v>19</v>
      </c>
      <c r="C36" s="26" t="n">
        <v>456</v>
      </c>
      <c r="D36" s="35" t="n">
        <f aca="false">IFERROR(B36/C36,0)</f>
        <v>0.0416666666666667</v>
      </c>
      <c r="E36" s="26" t="n">
        <v>15.8</v>
      </c>
      <c r="F36" s="26" t="str">
        <f aca="false">TEXT(A36,"yyyy-mm")</f>
        <v>2026-08</v>
      </c>
    </row>
    <row r="37" customFormat="false" ht="15" hidden="false" customHeight="false" outlineLevel="0" collapsed="false">
      <c r="A37" s="41" t="n">
        <v>46246</v>
      </c>
      <c r="B37" s="23" t="n">
        <v>15</v>
      </c>
      <c r="C37" s="23" t="n">
        <v>360</v>
      </c>
      <c r="D37" s="30" t="n">
        <f aca="false">IFERROR(B37/C37,0)</f>
        <v>0.0416666666666667</v>
      </c>
      <c r="E37" s="23" t="n">
        <v>18.6</v>
      </c>
      <c r="F37" s="23" t="str">
        <f aca="false">TEXT(A37,"yyyy-mm")</f>
        <v>2026-08</v>
      </c>
    </row>
    <row r="38" customFormat="false" ht="15" hidden="false" customHeight="false" outlineLevel="0" collapsed="false">
      <c r="A38" s="42" t="n">
        <v>46247</v>
      </c>
      <c r="B38" s="26" t="n">
        <v>13</v>
      </c>
      <c r="C38" s="26" t="n">
        <v>343</v>
      </c>
      <c r="D38" s="35" t="n">
        <f aca="false">IFERROR(B38/C38,0)</f>
        <v>0.0379008746355685</v>
      </c>
      <c r="E38" s="26" t="n">
        <v>20.1</v>
      </c>
      <c r="F38" s="26" t="str">
        <f aca="false">TEXT(A38,"yyyy-mm")</f>
        <v>2026-08</v>
      </c>
    </row>
    <row r="39" customFormat="false" ht="15" hidden="false" customHeight="false" outlineLevel="0" collapsed="false">
      <c r="A39" s="41" t="n">
        <v>46248</v>
      </c>
      <c r="B39" s="23" t="n">
        <v>14</v>
      </c>
      <c r="C39" s="23" t="n">
        <v>279</v>
      </c>
      <c r="D39" s="30" t="n">
        <f aca="false">IFERROR(B39/C39,0)</f>
        <v>0.0501792114695341</v>
      </c>
      <c r="E39" s="23" t="n">
        <v>18.8</v>
      </c>
      <c r="F39" s="23" t="str">
        <f aca="false">TEXT(A39,"yyyy-mm")</f>
        <v>2026-08</v>
      </c>
    </row>
    <row r="40" customFormat="false" ht="15" hidden="false" customHeight="false" outlineLevel="0" collapsed="false">
      <c r="A40" s="42" t="n">
        <v>46249</v>
      </c>
      <c r="B40" s="26" t="n">
        <v>1</v>
      </c>
      <c r="C40" s="26" t="n">
        <v>203</v>
      </c>
      <c r="D40" s="35" t="n">
        <f aca="false">IFERROR(B40/C40,0)</f>
        <v>0.00492610837438424</v>
      </c>
      <c r="E40" s="26" t="n">
        <v>22.9</v>
      </c>
      <c r="F40" s="26" t="str">
        <f aca="false">TEXT(A40,"yyyy-mm")</f>
        <v>2026-08</v>
      </c>
    </row>
    <row r="41" customFormat="false" ht="15" hidden="false" customHeight="false" outlineLevel="0" collapsed="false">
      <c r="A41" s="41" t="n">
        <v>46250</v>
      </c>
      <c r="B41" s="23" t="n">
        <v>3</v>
      </c>
      <c r="C41" s="23" t="n">
        <v>352</v>
      </c>
      <c r="D41" s="30" t="n">
        <f aca="false">IFERROR(B41/C41,0)</f>
        <v>0.00852272727272727</v>
      </c>
      <c r="E41" s="23" t="n">
        <v>18.1</v>
      </c>
      <c r="F41" s="23" t="str">
        <f aca="false">TEXT(A41,"yyyy-mm")</f>
        <v>2026-08</v>
      </c>
    </row>
    <row r="42" customFormat="false" ht="15" hidden="false" customHeight="false" outlineLevel="0" collapsed="false">
      <c r="A42" s="42" t="n">
        <v>46251</v>
      </c>
      <c r="B42" s="26" t="n">
        <v>8</v>
      </c>
      <c r="C42" s="26" t="n">
        <v>352</v>
      </c>
      <c r="D42" s="35" t="n">
        <f aca="false">IFERROR(B42/C42,0)</f>
        <v>0.0227272727272727</v>
      </c>
      <c r="E42" s="26" t="n">
        <v>18.2</v>
      </c>
      <c r="F42" s="26" t="str">
        <f aca="false">TEXT(A42,"yyyy-mm")</f>
        <v>2026-08</v>
      </c>
    </row>
    <row r="43" customFormat="false" ht="15" hidden="false" customHeight="false" outlineLevel="0" collapsed="false">
      <c r="A43" s="41" t="n">
        <v>46252</v>
      </c>
      <c r="B43" s="23" t="n">
        <v>18</v>
      </c>
      <c r="C43" s="23" t="n">
        <v>378</v>
      </c>
      <c r="D43" s="30" t="n">
        <f aca="false">IFERROR(B43/C43,0)</f>
        <v>0.0476190476190476</v>
      </c>
      <c r="E43" s="23" t="n">
        <v>16.8</v>
      </c>
      <c r="F43" s="23" t="str">
        <f aca="false">TEXT(A43,"yyyy-mm")</f>
        <v>2026-08</v>
      </c>
    </row>
    <row r="44" customFormat="false" ht="15" hidden="false" customHeight="false" outlineLevel="0" collapsed="false">
      <c r="A44" s="42" t="n">
        <v>46253</v>
      </c>
      <c r="B44" s="26" t="n">
        <v>26</v>
      </c>
      <c r="C44" s="26" t="n">
        <v>427</v>
      </c>
      <c r="D44" s="35" t="n">
        <f aca="false">IFERROR(B44/C44,0)</f>
        <v>0.0608899297423888</v>
      </c>
      <c r="E44" s="26" t="n">
        <v>14.4</v>
      </c>
      <c r="F44" s="26" t="str">
        <f aca="false">TEXT(A44,"yyyy-mm")</f>
        <v>2026-08</v>
      </c>
    </row>
    <row r="45" customFormat="false" ht="15" hidden="false" customHeight="false" outlineLevel="0" collapsed="false">
      <c r="A45" s="41" t="n">
        <v>46254</v>
      </c>
      <c r="B45" s="23" t="n">
        <v>11</v>
      </c>
      <c r="C45" s="23" t="n">
        <v>390</v>
      </c>
      <c r="D45" s="30" t="n">
        <f aca="false">IFERROR(B45/C45,0)</f>
        <v>0.0282051282051282</v>
      </c>
      <c r="E45" s="23" t="n">
        <v>17.3</v>
      </c>
      <c r="F45" s="23" t="str">
        <f aca="false">TEXT(A45,"yyyy-mm")</f>
        <v>2026-08</v>
      </c>
    </row>
    <row r="46" customFormat="false" ht="15" hidden="false" customHeight="false" outlineLevel="0" collapsed="false">
      <c r="A46" s="42" t="n">
        <v>46255</v>
      </c>
      <c r="B46" s="26" t="n">
        <v>7</v>
      </c>
      <c r="C46" s="26" t="n">
        <v>264</v>
      </c>
      <c r="D46" s="35" t="n">
        <f aca="false">IFERROR(B46/C46,0)</f>
        <v>0.0265151515151515</v>
      </c>
      <c r="E46" s="26" t="n">
        <v>19.7</v>
      </c>
      <c r="F46" s="26" t="str">
        <f aca="false">TEXT(A46,"yyyy-mm")</f>
        <v>2026-08</v>
      </c>
    </row>
    <row r="47" customFormat="false" ht="15" hidden="false" customHeight="false" outlineLevel="0" collapsed="false">
      <c r="A47" s="41" t="n">
        <v>46256</v>
      </c>
      <c r="B47" s="23" t="n">
        <v>3</v>
      </c>
      <c r="C47" s="23" t="n">
        <v>242</v>
      </c>
      <c r="D47" s="30" t="n">
        <f aca="false">IFERROR(B47/C47,0)</f>
        <v>0.012396694214876</v>
      </c>
      <c r="E47" s="23" t="n">
        <v>25.4</v>
      </c>
      <c r="F47" s="23" t="str">
        <f aca="false">TEXT(A47,"yyyy-mm")</f>
        <v>2026-08</v>
      </c>
    </row>
    <row r="48" customFormat="false" ht="15" hidden="false" customHeight="false" outlineLevel="0" collapsed="false">
      <c r="A48" s="42" t="n">
        <v>46257</v>
      </c>
      <c r="B48" s="26" t="n">
        <v>6</v>
      </c>
      <c r="C48" s="26" t="n">
        <v>238</v>
      </c>
      <c r="D48" s="35" t="n">
        <f aca="false">IFERROR(B48/C48,0)</f>
        <v>0.0252100840336134</v>
      </c>
      <c r="E48" s="26" t="n">
        <v>18.2</v>
      </c>
      <c r="F48" s="26" t="str">
        <f aca="false">TEXT(A48,"yyyy-mm")</f>
        <v>2026-08</v>
      </c>
    </row>
    <row r="49" customFormat="false" ht="15" hidden="false" customHeight="false" outlineLevel="0" collapsed="false">
      <c r="A49" s="41" t="n">
        <v>46258</v>
      </c>
      <c r="B49" s="23" t="n">
        <v>12</v>
      </c>
      <c r="C49" s="23" t="n">
        <v>396</v>
      </c>
      <c r="D49" s="30" t="n">
        <f aca="false">IFERROR(B49/C49,0)</f>
        <v>0.0303030303030303</v>
      </c>
      <c r="E49" s="23" t="n">
        <v>16.7</v>
      </c>
      <c r="F49" s="23" t="str">
        <f aca="false">TEXT(A49,"yyyy-mm")</f>
        <v>2026-08</v>
      </c>
    </row>
    <row r="50" customFormat="false" ht="15" hidden="false" customHeight="false" outlineLevel="0" collapsed="false">
      <c r="A50" s="42" t="n">
        <v>46259</v>
      </c>
      <c r="B50" s="26" t="n">
        <v>13</v>
      </c>
      <c r="C50" s="26" t="n">
        <v>390</v>
      </c>
      <c r="D50" s="35" t="n">
        <f aca="false">IFERROR(B50/C50,0)</f>
        <v>0.0333333333333333</v>
      </c>
      <c r="E50" s="26" t="n">
        <v>16.9</v>
      </c>
      <c r="F50" s="26" t="str">
        <f aca="false">TEXT(A50,"yyyy-mm")</f>
        <v>2026-08</v>
      </c>
    </row>
    <row r="51" customFormat="false" ht="15" hidden="false" customHeight="false" outlineLevel="0" collapsed="false">
      <c r="A51" s="41" t="n">
        <v>46260</v>
      </c>
      <c r="B51" s="23" t="n">
        <v>5</v>
      </c>
      <c r="C51" s="23" t="n">
        <v>348</v>
      </c>
      <c r="D51" s="30" t="n">
        <f aca="false">IFERROR(B51/C51,0)</f>
        <v>0.014367816091954</v>
      </c>
      <c r="E51" s="23" t="n">
        <v>19.5</v>
      </c>
      <c r="F51" s="23" t="str">
        <f aca="false">TEXT(A51,"yyyy-mm")</f>
        <v>2026-08</v>
      </c>
    </row>
    <row r="52" customFormat="false" ht="15" hidden="false" customHeight="false" outlineLevel="0" collapsed="false">
      <c r="A52" s="42" t="n">
        <v>46261</v>
      </c>
      <c r="B52" s="26" t="n">
        <v>21</v>
      </c>
      <c r="C52" s="26" t="n">
        <v>372</v>
      </c>
      <c r="D52" s="35" t="n">
        <f aca="false">IFERROR(B52/C52,0)</f>
        <v>0.0564516129032258</v>
      </c>
      <c r="E52" s="26" t="n">
        <v>20.4</v>
      </c>
      <c r="F52" s="26" t="str">
        <f aca="false">TEXT(A52,"yyyy-mm")</f>
        <v>2026-08</v>
      </c>
    </row>
    <row r="53" customFormat="false" ht="15" hidden="false" customHeight="false" outlineLevel="0" collapsed="false">
      <c r="A53" s="41" t="n">
        <v>46262</v>
      </c>
      <c r="B53" s="23" t="n">
        <v>3</v>
      </c>
      <c r="C53" s="23" t="n">
        <v>264</v>
      </c>
      <c r="D53" s="30" t="n">
        <f aca="false">IFERROR(B53/C53,0)</f>
        <v>0.0113636363636364</v>
      </c>
      <c r="E53" s="23" t="n">
        <v>21.6</v>
      </c>
      <c r="F53" s="23" t="str">
        <f aca="false">TEXT(A53,"yyyy-mm")</f>
        <v>2026-08</v>
      </c>
    </row>
    <row r="54" customFormat="false" ht="15" hidden="false" customHeight="false" outlineLevel="0" collapsed="false">
      <c r="A54" s="42" t="n">
        <v>46263</v>
      </c>
      <c r="B54" s="26" t="n">
        <v>2</v>
      </c>
      <c r="C54" s="26" t="n">
        <v>257</v>
      </c>
      <c r="D54" s="35" t="n">
        <f aca="false">IFERROR(B54/C54,0)</f>
        <v>0.00778210116731518</v>
      </c>
      <c r="E54" s="26" t="n">
        <v>23.3</v>
      </c>
      <c r="F54" s="26" t="str">
        <f aca="false">TEXT(A54,"yyyy-mm")</f>
        <v>2026-08</v>
      </c>
    </row>
    <row r="55" customFormat="false" ht="15" hidden="false" customHeight="false" outlineLevel="0" collapsed="false">
      <c r="A55" s="41" t="n">
        <v>46264</v>
      </c>
      <c r="B55" s="23" t="n">
        <v>1</v>
      </c>
      <c r="C55" s="23" t="n">
        <v>287</v>
      </c>
      <c r="D55" s="30" t="n">
        <f aca="false">IFERROR(B55/C55,0)</f>
        <v>0.00348432055749129</v>
      </c>
      <c r="E55" s="23" t="n">
        <v>28.1</v>
      </c>
      <c r="F55" s="23" t="str">
        <f aca="false">TEXT(A55,"yyyy-mm")</f>
        <v>2026-08</v>
      </c>
    </row>
    <row r="56" customFormat="false" ht="15" hidden="false" customHeight="false" outlineLevel="0" collapsed="false">
      <c r="A56" s="42" t="n">
        <v>46265</v>
      </c>
      <c r="B56" s="26" t="n">
        <v>12</v>
      </c>
      <c r="C56" s="26" t="n">
        <v>321</v>
      </c>
      <c r="D56" s="35" t="n">
        <f aca="false">IFERROR(B56/C56,0)</f>
        <v>0.0373831775700935</v>
      </c>
      <c r="E56" s="26" t="n">
        <v>22.6</v>
      </c>
      <c r="F56" s="26" t="str">
        <f aca="false">TEXT(A56,"yyyy-mm")</f>
        <v>2026-08</v>
      </c>
    </row>
    <row r="57" customFormat="false" ht="15" hidden="false" customHeight="false" outlineLevel="0" collapsed="false">
      <c r="A57" s="41" t="n">
        <v>46266</v>
      </c>
      <c r="B57" s="23" t="n">
        <v>13</v>
      </c>
      <c r="C57" s="23" t="n">
        <v>345</v>
      </c>
      <c r="D57" s="30" t="n">
        <f aca="false">IFERROR(B57/C57,0)</f>
        <v>0.0376811594202899</v>
      </c>
      <c r="E57" s="23" t="n">
        <v>16.3</v>
      </c>
      <c r="F57" s="23" t="str">
        <f aca="false">TEXT(A57,"yyyy-mm")</f>
        <v>2026-09</v>
      </c>
    </row>
    <row r="58" customFormat="false" ht="15" hidden="false" customHeight="false" outlineLevel="0" collapsed="false">
      <c r="A58" s="42" t="n">
        <v>46267</v>
      </c>
      <c r="B58" s="26" t="n">
        <v>14</v>
      </c>
      <c r="C58" s="26" t="n">
        <v>328</v>
      </c>
      <c r="D58" s="35" t="n">
        <f aca="false">IFERROR(B58/C58,0)</f>
        <v>0.0426829268292683</v>
      </c>
      <c r="E58" s="26" t="n">
        <v>15.6</v>
      </c>
      <c r="F58" s="26" t="str">
        <f aca="false">TEXT(A58,"yyyy-mm")</f>
        <v>2026-09</v>
      </c>
    </row>
    <row r="59" customFormat="false" ht="15" hidden="false" customHeight="false" outlineLevel="0" collapsed="false">
      <c r="A59" s="41" t="n">
        <v>46268</v>
      </c>
      <c r="B59" s="23" t="n">
        <v>12</v>
      </c>
      <c r="C59" s="23" t="n">
        <v>405</v>
      </c>
      <c r="D59" s="30" t="n">
        <f aca="false">IFERROR(B59/C59,0)</f>
        <v>0.0296296296296296</v>
      </c>
      <c r="E59" s="23" t="n">
        <v>15.2</v>
      </c>
      <c r="F59" s="23" t="str">
        <f aca="false">TEXT(A59,"yyyy-mm")</f>
        <v>2026-09</v>
      </c>
    </row>
    <row r="60" customFormat="false" ht="15" hidden="false" customHeight="false" outlineLevel="0" collapsed="false">
      <c r="A60" s="42" t="n">
        <v>46269</v>
      </c>
      <c r="B60" s="26" t="n">
        <v>12</v>
      </c>
      <c r="C60" s="26" t="n">
        <v>350</v>
      </c>
      <c r="D60" s="35" t="n">
        <f aca="false">IFERROR(B60/C60,0)</f>
        <v>0.0342857142857143</v>
      </c>
      <c r="E60" s="26" t="n">
        <v>14.5</v>
      </c>
      <c r="F60" s="26" t="str">
        <f aca="false">TEXT(A60,"yyyy-mm")</f>
        <v>2026-09</v>
      </c>
    </row>
    <row r="61" customFormat="false" ht="15" hidden="false" customHeight="false" outlineLevel="0" collapsed="false">
      <c r="A61" s="41" t="n">
        <v>46270</v>
      </c>
      <c r="B61" s="23" t="n">
        <v>1</v>
      </c>
      <c r="C61" s="23" t="n">
        <v>341</v>
      </c>
      <c r="D61" s="30" t="n">
        <f aca="false">IFERROR(B61/C61,0)</f>
        <v>0.00293255131964809</v>
      </c>
      <c r="E61" s="23" t="n">
        <v>16.1</v>
      </c>
      <c r="F61" s="23" t="str">
        <f aca="false">TEXT(A61,"yyyy-mm")</f>
        <v>2026-09</v>
      </c>
    </row>
    <row r="62" customFormat="false" ht="15" hidden="false" customHeight="false" outlineLevel="0" collapsed="false">
      <c r="A62" s="42" t="n">
        <v>46271</v>
      </c>
      <c r="B62" s="26" t="n">
        <v>4</v>
      </c>
      <c r="C62" s="26" t="n">
        <v>319</v>
      </c>
      <c r="D62" s="35" t="n">
        <f aca="false">IFERROR(B62/C62,0)</f>
        <v>0.0125391849529781</v>
      </c>
      <c r="E62" s="26" t="n">
        <v>13.2</v>
      </c>
      <c r="F62" s="26" t="str">
        <f aca="false">TEXT(A62,"yyyy-mm")</f>
        <v>2026-09</v>
      </c>
    </row>
    <row r="63" customFormat="false" ht="15" hidden="false" customHeight="false" outlineLevel="0" collapsed="false">
      <c r="A63" s="41" t="n">
        <v>46272</v>
      </c>
      <c r="B63" s="23" t="n">
        <v>14</v>
      </c>
      <c r="C63" s="23" t="n">
        <v>334</v>
      </c>
      <c r="D63" s="30" t="n">
        <f aca="false">IFERROR(B63/C63,0)</f>
        <v>0.0419161676646707</v>
      </c>
      <c r="E63" s="23" t="n">
        <v>12.6</v>
      </c>
      <c r="F63" s="23" t="str">
        <f aca="false">TEXT(A63,"yyyy-mm")</f>
        <v>2026-09</v>
      </c>
    </row>
    <row r="64" customFormat="false" ht="15" hidden="false" customHeight="false" outlineLevel="0" collapsed="false">
      <c r="A64" s="42" t="n">
        <v>46273</v>
      </c>
      <c r="B64" s="26" t="n">
        <v>14</v>
      </c>
      <c r="C64" s="26" t="n">
        <v>478</v>
      </c>
      <c r="D64" s="35" t="n">
        <f aca="false">IFERROR(B64/C64,0)</f>
        <v>0.0292887029288703</v>
      </c>
      <c r="E64" s="26" t="n">
        <v>14.2</v>
      </c>
      <c r="F64" s="26" t="str">
        <f aca="false">TEXT(A64,"yyyy-mm")</f>
        <v>2026-09</v>
      </c>
    </row>
    <row r="65" customFormat="false" ht="15" hidden="false" customHeight="false" outlineLevel="0" collapsed="false">
      <c r="A65" s="41" t="n">
        <v>46274</v>
      </c>
      <c r="B65" s="23" t="n">
        <v>13</v>
      </c>
      <c r="C65" s="23" t="n">
        <v>401</v>
      </c>
      <c r="D65" s="30" t="n">
        <f aca="false">IFERROR(B65/C65,0)</f>
        <v>0.0324189526184539</v>
      </c>
      <c r="E65" s="23" t="n">
        <v>15.7</v>
      </c>
      <c r="F65" s="23" t="str">
        <f aca="false">TEXT(A65,"yyyy-mm")</f>
        <v>2026-09</v>
      </c>
    </row>
    <row r="66" customFormat="false" ht="15" hidden="false" customHeight="false" outlineLevel="0" collapsed="false">
      <c r="A66" s="42" t="n">
        <v>46275</v>
      </c>
      <c r="B66" s="26" t="n">
        <v>18</v>
      </c>
      <c r="C66" s="26" t="n">
        <v>429</v>
      </c>
      <c r="D66" s="35" t="n">
        <f aca="false">IFERROR(B66/C66,0)</f>
        <v>0.041958041958042</v>
      </c>
      <c r="E66" s="26" t="n">
        <v>10.8</v>
      </c>
      <c r="F66" s="26" t="str">
        <f aca="false">TEXT(A66,"yyyy-mm")</f>
        <v>2026-09</v>
      </c>
    </row>
    <row r="67" customFormat="false" ht="15" hidden="false" customHeight="false" outlineLevel="0" collapsed="false">
      <c r="A67" s="41" t="n">
        <v>46276</v>
      </c>
      <c r="B67" s="23" t="n">
        <v>5</v>
      </c>
      <c r="C67" s="23" t="n">
        <v>286</v>
      </c>
      <c r="D67" s="30" t="n">
        <f aca="false">IFERROR(B67/C67,0)</f>
        <v>0.0174825174825175</v>
      </c>
      <c r="E67" s="23" t="n">
        <v>15.5</v>
      </c>
      <c r="F67" s="23" t="str">
        <f aca="false">TEXT(A67,"yyyy-mm")</f>
        <v>2026-09</v>
      </c>
    </row>
    <row r="68" customFormat="false" ht="15" hidden="false" customHeight="false" outlineLevel="0" collapsed="false">
      <c r="A68" s="42" t="n">
        <v>46277</v>
      </c>
      <c r="B68" s="26" t="n">
        <v>2</v>
      </c>
      <c r="C68" s="26" t="n">
        <v>239</v>
      </c>
      <c r="D68" s="35" t="n">
        <f aca="false">IFERROR(B68/C68,0)</f>
        <v>0.00836820083682008</v>
      </c>
      <c r="E68" s="26" t="n">
        <v>18.2</v>
      </c>
      <c r="F68" s="26" t="str">
        <f aca="false">TEXT(A68,"yyyy-mm")</f>
        <v>2026-09</v>
      </c>
    </row>
    <row r="69" customFormat="false" ht="15" hidden="false" customHeight="false" outlineLevel="0" collapsed="false">
      <c r="A69" s="41" t="n">
        <v>46278</v>
      </c>
      <c r="B69" s="23" t="n">
        <v>3</v>
      </c>
      <c r="C69" s="23" t="n">
        <v>212</v>
      </c>
      <c r="D69" s="30" t="n">
        <f aca="false">IFERROR(B69/C69,0)</f>
        <v>0.0141509433962264</v>
      </c>
      <c r="E69" s="23" t="n">
        <v>16.4</v>
      </c>
      <c r="F69" s="23" t="str">
        <f aca="false">TEXT(A69,"yyyy-mm")</f>
        <v>2026-09</v>
      </c>
    </row>
    <row r="70" customFormat="false" ht="15" hidden="false" customHeight="false" outlineLevel="0" collapsed="false">
      <c r="A70" s="42" t="n">
        <v>46279</v>
      </c>
      <c r="B70" s="26" t="n">
        <v>16</v>
      </c>
      <c r="C70" s="26" t="n">
        <v>360</v>
      </c>
      <c r="D70" s="35" t="n">
        <f aca="false">IFERROR(B70/C70,0)</f>
        <v>0.0444444444444444</v>
      </c>
      <c r="E70" s="26" t="n">
        <v>15.8</v>
      </c>
      <c r="F70" s="26" t="str">
        <f aca="false">TEXT(A70,"yyyy-mm")</f>
        <v>2026-09</v>
      </c>
    </row>
    <row r="71" customFormat="false" ht="15" hidden="false" customHeight="false" outlineLevel="0" collapsed="false">
      <c r="A71" s="41" t="n">
        <v>46280</v>
      </c>
      <c r="B71" s="23" t="n">
        <v>20</v>
      </c>
      <c r="C71" s="23" t="n">
        <v>328</v>
      </c>
      <c r="D71" s="30" t="n">
        <f aca="false">IFERROR(B71/C71,0)</f>
        <v>0.0609756097560976</v>
      </c>
      <c r="E71" s="23" t="n">
        <v>12.3</v>
      </c>
      <c r="F71" s="23" t="str">
        <f aca="false">TEXT(A71,"yyyy-mm")</f>
        <v>2026-09</v>
      </c>
    </row>
    <row r="72" customFormat="false" ht="15" hidden="false" customHeight="false" outlineLevel="0" collapsed="false">
      <c r="A72" s="42" t="n">
        <v>46281</v>
      </c>
      <c r="B72" s="26" t="n">
        <v>16</v>
      </c>
      <c r="C72" s="26" t="n">
        <v>318</v>
      </c>
      <c r="D72" s="35" t="n">
        <f aca="false">IFERROR(B72/C72,0)</f>
        <v>0.050314465408805</v>
      </c>
      <c r="E72" s="26" t="n">
        <v>11.4</v>
      </c>
      <c r="F72" s="26" t="str">
        <f aca="false">TEXT(A72,"yyyy-mm")</f>
        <v>2026-09</v>
      </c>
    </row>
    <row r="73" customFormat="false" ht="15" hidden="false" customHeight="false" outlineLevel="0" collapsed="false">
      <c r="A73" s="41" t="n">
        <v>46282</v>
      </c>
      <c r="B73" s="23" t="n">
        <v>13</v>
      </c>
      <c r="C73" s="23" t="n">
        <v>310</v>
      </c>
      <c r="D73" s="30" t="n">
        <f aca="false">IFERROR(B73/C73,0)</f>
        <v>0.0419354838709677</v>
      </c>
      <c r="E73" s="23" t="n">
        <v>10.6</v>
      </c>
      <c r="F73" s="23" t="str">
        <f aca="false">TEXT(A73,"yyyy-mm")</f>
        <v>2026-09</v>
      </c>
    </row>
    <row r="74" customFormat="false" ht="15" hidden="false" customHeight="false" outlineLevel="0" collapsed="false">
      <c r="A74" s="42" t="n">
        <v>46283</v>
      </c>
      <c r="B74" s="26" t="n">
        <v>7</v>
      </c>
      <c r="C74" s="26" t="n">
        <v>292</v>
      </c>
      <c r="D74" s="35" t="n">
        <f aca="false">IFERROR(B74/C74,0)</f>
        <v>0.023972602739726</v>
      </c>
      <c r="E74" s="26" t="n">
        <v>11.6</v>
      </c>
      <c r="F74" s="26" t="str">
        <f aca="false">TEXT(A74,"yyyy-mm")</f>
        <v>2026-09</v>
      </c>
    </row>
    <row r="75" customFormat="false" ht="15" hidden="false" customHeight="false" outlineLevel="0" collapsed="false">
      <c r="A75" s="41" t="n">
        <v>46284</v>
      </c>
      <c r="B75" s="23" t="n">
        <v>0</v>
      </c>
      <c r="C75" s="23" t="n">
        <v>250</v>
      </c>
      <c r="D75" s="30" t="n">
        <f aca="false">IFERROR(B75/C75,0)</f>
        <v>0</v>
      </c>
      <c r="E75" s="23" t="n">
        <v>12.1</v>
      </c>
      <c r="F75" s="23" t="str">
        <f aca="false">TEXT(A75,"yyyy-mm")</f>
        <v>2026-09</v>
      </c>
    </row>
    <row r="76" customFormat="false" ht="15" hidden="false" customHeight="false" outlineLevel="0" collapsed="false">
      <c r="A76" s="42" t="n">
        <v>46285</v>
      </c>
      <c r="B76" s="26" t="n">
        <v>0</v>
      </c>
      <c r="C76" s="26" t="n">
        <v>229</v>
      </c>
      <c r="D76" s="35" t="n">
        <f aca="false">IFERROR(B76/C76,0)</f>
        <v>0</v>
      </c>
      <c r="E76" s="26" t="n">
        <v>12.5</v>
      </c>
      <c r="F76" s="26" t="str">
        <f aca="false">TEXT(A76,"yyyy-mm")</f>
        <v>2026-09</v>
      </c>
    </row>
    <row r="77" customFormat="false" ht="15" hidden="false" customHeight="false" outlineLevel="0" collapsed="false">
      <c r="A77" s="41" t="n">
        <v>46286</v>
      </c>
      <c r="B77" s="23" t="n">
        <v>18</v>
      </c>
      <c r="C77" s="23" t="n">
        <v>267</v>
      </c>
      <c r="D77" s="30" t="n">
        <f aca="false">IFERROR(B77/C77,0)</f>
        <v>0.0674157303370787</v>
      </c>
      <c r="E77" s="23" t="n">
        <v>8.5</v>
      </c>
      <c r="F77" s="23" t="str">
        <f aca="false">TEXT(A77,"yyyy-mm")</f>
        <v>2026-09</v>
      </c>
    </row>
    <row r="78" customFormat="false" ht="15" hidden="false" customHeight="false" outlineLevel="0" collapsed="false">
      <c r="A78" s="42" t="n">
        <v>46287</v>
      </c>
      <c r="B78" s="26" t="n">
        <v>15</v>
      </c>
      <c r="C78" s="26" t="n">
        <v>330</v>
      </c>
      <c r="D78" s="35" t="n">
        <f aca="false">IFERROR(B78/C78,0)</f>
        <v>0.0454545454545455</v>
      </c>
      <c r="E78" s="26" t="n">
        <v>9.2</v>
      </c>
      <c r="F78" s="26" t="str">
        <f aca="false">TEXT(A78,"yyyy-mm")</f>
        <v>2026-09</v>
      </c>
    </row>
    <row r="79" customFormat="false" ht="15" hidden="false" customHeight="false" outlineLevel="0" collapsed="false">
      <c r="A79" s="41" t="n">
        <v>46288</v>
      </c>
      <c r="B79" s="23" t="n">
        <v>11</v>
      </c>
      <c r="C79" s="23" t="n">
        <v>364</v>
      </c>
      <c r="D79" s="30" t="n">
        <f aca="false">IFERROR(B79/C79,0)</f>
        <v>0.0302197802197802</v>
      </c>
      <c r="E79" s="23" t="n">
        <v>9.8</v>
      </c>
      <c r="F79" s="23" t="str">
        <f aca="false">TEXT(A79,"yyyy-mm")</f>
        <v>2026-09</v>
      </c>
    </row>
    <row r="80" customFormat="false" ht="15" hidden="false" customHeight="false" outlineLevel="0" collapsed="false">
      <c r="A80" s="42" t="n">
        <v>46289</v>
      </c>
      <c r="B80" s="26" t="n">
        <v>25</v>
      </c>
      <c r="C80" s="26" t="n">
        <v>504</v>
      </c>
      <c r="D80" s="35" t="n">
        <f aca="false">IFERROR(B80/C80,0)</f>
        <v>0.0496031746031746</v>
      </c>
      <c r="E80" s="26" t="n">
        <v>9.7</v>
      </c>
      <c r="F80" s="26" t="str">
        <f aca="false">TEXT(A80,"yyyy-mm")</f>
        <v>2026-09</v>
      </c>
    </row>
    <row r="81" customFormat="false" ht="15" hidden="false" customHeight="false" outlineLevel="0" collapsed="false">
      <c r="A81" s="41" t="n">
        <v>46290</v>
      </c>
      <c r="B81" s="23" t="n">
        <v>7</v>
      </c>
      <c r="C81" s="23" t="n">
        <v>519</v>
      </c>
      <c r="D81" s="30" t="n">
        <f aca="false">IFERROR(B81/C81,0)</f>
        <v>0.0134874759152216</v>
      </c>
      <c r="E81" s="23" t="n">
        <v>11.8</v>
      </c>
      <c r="F81" s="23" t="str">
        <f aca="false">TEXT(A81,"yyyy-mm")</f>
        <v>2026-09</v>
      </c>
    </row>
    <row r="82" customFormat="false" ht="15" hidden="false" customHeight="false" outlineLevel="0" collapsed="false">
      <c r="A82" s="42" t="n">
        <v>46291</v>
      </c>
      <c r="B82" s="26" t="n">
        <v>2</v>
      </c>
      <c r="C82" s="26" t="n">
        <v>466</v>
      </c>
      <c r="D82" s="35" t="n">
        <f aca="false">IFERROR(B82/C82,0)</f>
        <v>0.00429184549356223</v>
      </c>
      <c r="E82" s="26" t="n">
        <v>11.4</v>
      </c>
      <c r="F82" s="26" t="str">
        <f aca="false">TEXT(A82,"yyyy-mm")</f>
        <v>2026-09</v>
      </c>
    </row>
    <row r="83" customFormat="false" ht="15" hidden="false" customHeight="false" outlineLevel="0" collapsed="false">
      <c r="A83" s="41" t="n">
        <v>46292</v>
      </c>
      <c r="B83" s="23" t="n">
        <v>3</v>
      </c>
      <c r="C83" s="23" t="n">
        <v>454</v>
      </c>
      <c r="D83" s="30" t="n">
        <f aca="false">IFERROR(B83/C83,0)</f>
        <v>0.0066079295154185</v>
      </c>
      <c r="E83" s="23" t="n">
        <v>11.3</v>
      </c>
      <c r="F83" s="23" t="str">
        <f aca="false">TEXT(A83,"yyyy-mm")</f>
        <v>2026-09</v>
      </c>
    </row>
    <row r="84" customFormat="false" ht="15" hidden="false" customHeight="false" outlineLevel="0" collapsed="false">
      <c r="A84" s="42" t="n">
        <v>46293</v>
      </c>
      <c r="B84" s="26" t="n">
        <v>8</v>
      </c>
      <c r="C84" s="26" t="n">
        <v>552</v>
      </c>
      <c r="D84" s="35" t="n">
        <f aca="false">IFERROR(B84/C84,0)</f>
        <v>0.0144927536231884</v>
      </c>
      <c r="E84" s="26" t="n">
        <v>10.5</v>
      </c>
      <c r="F84" s="26" t="str">
        <f aca="false">TEXT(A84,"yyyy-mm")</f>
        <v>2026-09</v>
      </c>
    </row>
    <row r="85" customFormat="false" ht="15" hidden="false" customHeight="false" outlineLevel="0" collapsed="false">
      <c r="A85" s="41" t="n">
        <v>46294</v>
      </c>
      <c r="B85" s="23" t="n">
        <v>17</v>
      </c>
      <c r="C85" s="23" t="n">
        <v>525</v>
      </c>
      <c r="D85" s="30" t="n">
        <f aca="false">IFERROR(B85/C85,0)</f>
        <v>0.0323809523809524</v>
      </c>
      <c r="E85" s="23" t="n">
        <v>9.2</v>
      </c>
      <c r="F85" s="23" t="str">
        <f aca="false">TEXT(A85,"yyyy-mm")</f>
        <v>2026-09</v>
      </c>
    </row>
    <row r="86" customFormat="false" ht="15" hidden="false" customHeight="false" outlineLevel="0" collapsed="false">
      <c r="A86" s="42" t="n">
        <v>46295</v>
      </c>
      <c r="B86" s="26" t="n">
        <v>10</v>
      </c>
      <c r="C86" s="26" t="n">
        <v>620</v>
      </c>
      <c r="D86" s="35" t="n">
        <f aca="false">IFERROR(B86/C86,0)</f>
        <v>0.0161290322580645</v>
      </c>
      <c r="E86" s="26" t="n">
        <v>9.7</v>
      </c>
      <c r="F86" s="26" t="str">
        <f aca="false">TEXT(A86,"yyyy-mm")</f>
        <v>2026-09</v>
      </c>
    </row>
    <row r="87" customFormat="false" ht="15" hidden="false" customHeight="false" outlineLevel="0" collapsed="false">
      <c r="A87" s="41" t="n">
        <v>46296</v>
      </c>
      <c r="B87" s="23" t="n">
        <v>14</v>
      </c>
      <c r="C87" s="23" t="n">
        <v>383</v>
      </c>
      <c r="D87" s="30" t="n">
        <f aca="false">IFERROR(B87/C87,0)</f>
        <v>0.0365535248041776</v>
      </c>
      <c r="E87" s="23" t="n">
        <v>9.7</v>
      </c>
      <c r="F87" s="23" t="str">
        <f aca="false">TEXT(A87,"yyyy-mm")</f>
        <v>2026-10</v>
      </c>
    </row>
    <row r="88" customFormat="false" ht="15" hidden="false" customHeight="false" outlineLevel="0" collapsed="false">
      <c r="A88" s="42" t="n">
        <v>46297</v>
      </c>
      <c r="B88" s="26" t="n">
        <v>12</v>
      </c>
      <c r="C88" s="26" t="n">
        <v>307</v>
      </c>
      <c r="D88" s="35" t="n">
        <f aca="false">IFERROR(B88/C88,0)</f>
        <v>0.0390879478827362</v>
      </c>
      <c r="E88" s="26" t="n">
        <v>13.5</v>
      </c>
      <c r="F88" s="26" t="str">
        <f aca="false">TEXT(A88,"yyyy-mm")</f>
        <v>2026-10</v>
      </c>
    </row>
    <row r="89" customFormat="false" ht="15" hidden="false" customHeight="false" outlineLevel="0" collapsed="false">
      <c r="A89" s="41" t="n">
        <v>46298</v>
      </c>
      <c r="B89" s="23" t="n">
        <v>2</v>
      </c>
      <c r="C89" s="23" t="n">
        <v>346</v>
      </c>
      <c r="D89" s="30" t="n">
        <f aca="false">IFERROR(B89/C89,0)</f>
        <v>0.00578034682080925</v>
      </c>
      <c r="E89" s="23" t="n">
        <v>13.9</v>
      </c>
      <c r="F89" s="23" t="str">
        <f aca="false">TEXT(A89,"yyyy-mm")</f>
        <v>2026-10</v>
      </c>
    </row>
    <row r="90" customFormat="false" ht="15" hidden="false" customHeight="false" outlineLevel="0" collapsed="false">
      <c r="A90" s="42" t="n">
        <v>46299</v>
      </c>
      <c r="B90" s="26" t="n">
        <v>3</v>
      </c>
      <c r="C90" s="26" t="n">
        <v>304</v>
      </c>
      <c r="D90" s="35" t="n">
        <f aca="false">IFERROR(B90/C90,0)</f>
        <v>0.00986842105263158</v>
      </c>
      <c r="E90" s="26" t="n">
        <v>13.7</v>
      </c>
      <c r="F90" s="26" t="str">
        <f aca="false">TEXT(A90,"yyyy-mm")</f>
        <v>2026-10</v>
      </c>
    </row>
    <row r="91" customFormat="false" ht="15" hidden="false" customHeight="false" outlineLevel="0" collapsed="false">
      <c r="A91" s="41" t="n">
        <v>46300</v>
      </c>
      <c r="B91" s="23" t="n">
        <v>12</v>
      </c>
      <c r="C91" s="23" t="n">
        <v>370</v>
      </c>
      <c r="D91" s="30" t="n">
        <f aca="false">IFERROR(B91/C91,0)</f>
        <v>0.0324324324324324</v>
      </c>
      <c r="E91" s="23" t="n">
        <v>11.5</v>
      </c>
      <c r="F91" s="23" t="str">
        <f aca="false">TEXT(A91,"yyyy-mm")</f>
        <v>2026-10</v>
      </c>
    </row>
    <row r="92" customFormat="false" ht="15" hidden="false" customHeight="false" outlineLevel="0" collapsed="false">
      <c r="A92" s="42" t="n">
        <v>46301</v>
      </c>
      <c r="B92" s="26" t="n">
        <v>17</v>
      </c>
      <c r="C92" s="26" t="n">
        <v>427</v>
      </c>
      <c r="D92" s="35" t="n">
        <f aca="false">IFERROR(B92/C92,0)</f>
        <v>0.0398126463700234</v>
      </c>
      <c r="E92" s="26" t="n">
        <v>11.1</v>
      </c>
      <c r="F92" s="26" t="str">
        <f aca="false">TEXT(A92,"yyyy-mm")</f>
        <v>2026-10</v>
      </c>
    </row>
    <row r="93" customFormat="false" ht="15" hidden="false" customHeight="false" outlineLevel="0" collapsed="false">
      <c r="A93" s="41" t="n">
        <v>46302</v>
      </c>
      <c r="B93" s="23" t="n">
        <v>13</v>
      </c>
      <c r="C93" s="23" t="n">
        <v>379</v>
      </c>
      <c r="D93" s="30" t="n">
        <f aca="false">IFERROR(B93/C93,0)</f>
        <v>0.0343007915567282</v>
      </c>
      <c r="E93" s="23" t="n">
        <v>11.2</v>
      </c>
      <c r="F93" s="23" t="str">
        <f aca="false">TEXT(A93,"yyyy-mm")</f>
        <v>2026-10</v>
      </c>
    </row>
    <row r="94" customFormat="false" ht="15" hidden="false" customHeight="false" outlineLevel="0" collapsed="false">
      <c r="A94" s="42" t="n">
        <v>46303</v>
      </c>
      <c r="B94" s="26" t="n">
        <v>16</v>
      </c>
      <c r="C94" s="26" t="n">
        <v>321</v>
      </c>
      <c r="D94" s="35" t="n">
        <f aca="false">IFERROR(B94/C94,0)</f>
        <v>0.0498442367601246</v>
      </c>
      <c r="E94" s="26" t="n">
        <v>11.3</v>
      </c>
      <c r="F94" s="26" t="str">
        <f aca="false">TEXT(A94,"yyyy-mm")</f>
        <v>2026-10</v>
      </c>
    </row>
    <row r="95" customFormat="false" ht="15" hidden="false" customHeight="false" outlineLevel="0" collapsed="false">
      <c r="A95" s="41" t="n">
        <v>46304</v>
      </c>
      <c r="B95" s="23" t="n">
        <v>7</v>
      </c>
      <c r="C95" s="23" t="n">
        <v>264</v>
      </c>
      <c r="D95" s="30" t="n">
        <f aca="false">IFERROR(B95/C95,0)</f>
        <v>0.0265151515151515</v>
      </c>
      <c r="E95" s="23" t="n">
        <v>12</v>
      </c>
      <c r="F95" s="23" t="str">
        <f aca="false">TEXT(A95,"yyyy-mm")</f>
        <v>2026-10</v>
      </c>
    </row>
    <row r="96" customFormat="false" ht="15" hidden="false" customHeight="false" outlineLevel="0" collapsed="false">
      <c r="A96" s="42" t="n">
        <v>46305</v>
      </c>
      <c r="B96" s="26" t="n">
        <v>2</v>
      </c>
      <c r="C96" s="26" t="n">
        <v>141</v>
      </c>
      <c r="D96" s="35" t="n">
        <f aca="false">IFERROR(B96/C96,0)</f>
        <v>0.0141843971631206</v>
      </c>
      <c r="E96" s="26" t="n">
        <v>14.5</v>
      </c>
      <c r="F96" s="26" t="str">
        <f aca="false">TEXT(A96,"yyyy-mm")</f>
        <v>2026-10</v>
      </c>
    </row>
  </sheetData>
  <autoFilter ref="A4:F9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E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1215</v>
      </c>
    </row>
    <row r="2" customFormat="false" ht="15" hidden="false" customHeight="false" outlineLevel="0" collapsed="false">
      <c r="A2" s="2" t="s">
        <v>1216</v>
      </c>
    </row>
    <row r="4" customFormat="false" ht="30" hidden="false" customHeight="true" outlineLevel="0" collapsed="false">
      <c r="A4" s="25" t="s">
        <v>38</v>
      </c>
      <c r="B4" s="25" t="s">
        <v>8</v>
      </c>
      <c r="C4" s="25" t="s">
        <v>9</v>
      </c>
      <c r="D4" s="25" t="s">
        <v>26</v>
      </c>
      <c r="E4" s="25" t="s">
        <v>10</v>
      </c>
    </row>
    <row r="5" customFormat="false" ht="15" hidden="false" customHeight="false" outlineLevel="0" collapsed="false">
      <c r="A5" s="23" t="s">
        <v>1217</v>
      </c>
      <c r="B5" s="23" t="n">
        <v>334</v>
      </c>
      <c r="C5" s="23" t="n">
        <v>3419</v>
      </c>
      <c r="D5" s="30" t="n">
        <f aca="false">IFERROR(B5/C5,0)</f>
        <v>0.0976893828604855</v>
      </c>
      <c r="E5" s="23" t="n">
        <v>12.52</v>
      </c>
    </row>
    <row r="6" customFormat="false" ht="15" hidden="false" customHeight="false" outlineLevel="0" collapsed="false">
      <c r="A6" s="26" t="s">
        <v>1218</v>
      </c>
      <c r="B6" s="26" t="n">
        <v>142</v>
      </c>
      <c r="C6" s="26" t="n">
        <v>1462</v>
      </c>
      <c r="D6" s="35" t="n">
        <f aca="false">IFERROR(B6/C6,0)</f>
        <v>0.0971272229822161</v>
      </c>
      <c r="E6" s="26" t="n">
        <v>9.82</v>
      </c>
    </row>
    <row r="7" customFormat="false" ht="15" hidden="false" customHeight="false" outlineLevel="0" collapsed="false">
      <c r="A7" s="23" t="s">
        <v>1219</v>
      </c>
      <c r="B7" s="23" t="n">
        <v>114</v>
      </c>
      <c r="C7" s="23" t="n">
        <v>15035</v>
      </c>
      <c r="D7" s="30" t="n">
        <f aca="false">IFERROR(B7/C7,0)</f>
        <v>0.00758230794812105</v>
      </c>
      <c r="E7" s="23" t="n">
        <v>20.04</v>
      </c>
    </row>
    <row r="8" customFormat="false" ht="15" hidden="false" customHeight="false" outlineLevel="0" collapsed="false">
      <c r="A8" s="26" t="s">
        <v>1220</v>
      </c>
      <c r="B8" s="26" t="n">
        <v>46</v>
      </c>
      <c r="C8" s="26" t="n">
        <v>162</v>
      </c>
      <c r="D8" s="35" t="n">
        <f aca="false">IFERROR(B8/C8,0)</f>
        <v>0.283950617283951</v>
      </c>
      <c r="E8" s="26" t="n">
        <v>4.1</v>
      </c>
    </row>
    <row r="9" customFormat="false" ht="15" hidden="false" customHeight="false" outlineLevel="0" collapsed="false">
      <c r="A9" s="23" t="s">
        <v>1221</v>
      </c>
      <c r="B9" s="23" t="n">
        <v>24</v>
      </c>
      <c r="C9" s="23" t="n">
        <v>1235</v>
      </c>
      <c r="D9" s="30" t="n">
        <f aca="false">IFERROR(B9/C9,0)</f>
        <v>0.0194331983805668</v>
      </c>
      <c r="E9" s="23" t="n">
        <v>13.34</v>
      </c>
    </row>
    <row r="10" customFormat="false" ht="15" hidden="false" customHeight="false" outlineLevel="0" collapsed="false">
      <c r="A10" s="26" t="s">
        <v>1222</v>
      </c>
      <c r="B10" s="26" t="n">
        <v>22</v>
      </c>
      <c r="C10" s="26" t="n">
        <v>128</v>
      </c>
      <c r="D10" s="35" t="n">
        <f aca="false">IFERROR(B10/C10,0)</f>
        <v>0.171875</v>
      </c>
      <c r="E10" s="26" t="n">
        <v>13.05</v>
      </c>
    </row>
    <row r="11" customFormat="false" ht="15" hidden="false" customHeight="false" outlineLevel="0" collapsed="false">
      <c r="A11" s="23" t="s">
        <v>1223</v>
      </c>
      <c r="B11" s="23" t="n">
        <v>16</v>
      </c>
      <c r="C11" s="23" t="n">
        <v>984</v>
      </c>
      <c r="D11" s="30" t="n">
        <f aca="false">IFERROR(B11/C11,0)</f>
        <v>0.016260162601626</v>
      </c>
      <c r="E11" s="23" t="n">
        <v>26.59</v>
      </c>
    </row>
    <row r="12" customFormat="false" ht="15" hidden="false" customHeight="false" outlineLevel="0" collapsed="false">
      <c r="A12" s="26" t="s">
        <v>1224</v>
      </c>
      <c r="B12" s="26" t="n">
        <v>14</v>
      </c>
      <c r="C12" s="26" t="n">
        <v>1190</v>
      </c>
      <c r="D12" s="35" t="n">
        <f aca="false">IFERROR(B12/C12,0)</f>
        <v>0.0117647058823529</v>
      </c>
      <c r="E12" s="26" t="n">
        <v>14.86</v>
      </c>
    </row>
    <row r="13" customFormat="false" ht="15" hidden="false" customHeight="false" outlineLevel="0" collapsed="false">
      <c r="A13" s="23" t="s">
        <v>1225</v>
      </c>
      <c r="B13" s="23" t="n">
        <v>13</v>
      </c>
      <c r="C13" s="23" t="n">
        <v>270</v>
      </c>
      <c r="D13" s="30" t="n">
        <f aca="false">IFERROR(B13/C13,0)</f>
        <v>0.0481481481481482</v>
      </c>
      <c r="E13" s="23" t="n">
        <v>16.14</v>
      </c>
    </row>
    <row r="14" customFormat="false" ht="15" hidden="false" customHeight="false" outlineLevel="0" collapsed="false">
      <c r="A14" s="26" t="s">
        <v>1226</v>
      </c>
      <c r="B14" s="26" t="n">
        <v>11</v>
      </c>
      <c r="C14" s="26" t="n">
        <v>489</v>
      </c>
      <c r="D14" s="35" t="n">
        <f aca="false">IFERROR(B14/C14,0)</f>
        <v>0.0224948875255624</v>
      </c>
      <c r="E14" s="26" t="n">
        <v>8.33</v>
      </c>
    </row>
    <row r="15" customFormat="false" ht="15" hidden="false" customHeight="false" outlineLevel="0" collapsed="false">
      <c r="A15" s="23" t="s">
        <v>1227</v>
      </c>
      <c r="B15" s="23" t="n">
        <v>9</v>
      </c>
      <c r="C15" s="23" t="n">
        <v>250</v>
      </c>
      <c r="D15" s="30" t="n">
        <f aca="false">IFERROR(B15/C15,0)</f>
        <v>0.036</v>
      </c>
      <c r="E15" s="23" t="n">
        <v>15.44</v>
      </c>
    </row>
    <row r="16" customFormat="false" ht="15" hidden="false" customHeight="false" outlineLevel="0" collapsed="false">
      <c r="A16" s="26" t="s">
        <v>1228</v>
      </c>
      <c r="B16" s="26" t="n">
        <v>9</v>
      </c>
      <c r="C16" s="26" t="n">
        <v>192</v>
      </c>
      <c r="D16" s="35" t="n">
        <f aca="false">IFERROR(B16/C16,0)</f>
        <v>0.046875</v>
      </c>
      <c r="E16" s="26" t="n">
        <v>16.01</v>
      </c>
    </row>
    <row r="17" customFormat="false" ht="15" hidden="false" customHeight="false" outlineLevel="0" collapsed="false">
      <c r="A17" s="23" t="s">
        <v>1229</v>
      </c>
      <c r="B17" s="23" t="n">
        <v>9</v>
      </c>
      <c r="C17" s="23" t="n">
        <v>69</v>
      </c>
      <c r="D17" s="30" t="n">
        <f aca="false">IFERROR(B17/C17,0)</f>
        <v>0.130434782608696</v>
      </c>
      <c r="E17" s="23" t="n">
        <v>6.71</v>
      </c>
    </row>
    <row r="18" customFormat="false" ht="15" hidden="false" customHeight="false" outlineLevel="0" collapsed="false">
      <c r="A18" s="26" t="s">
        <v>1230</v>
      </c>
      <c r="B18" s="26" t="n">
        <v>9</v>
      </c>
      <c r="C18" s="26" t="n">
        <v>55</v>
      </c>
      <c r="D18" s="35" t="n">
        <f aca="false">IFERROR(B18/C18,0)</f>
        <v>0.163636363636364</v>
      </c>
      <c r="E18" s="26" t="n">
        <v>5.42</v>
      </c>
    </row>
    <row r="19" customFormat="false" ht="15" hidden="false" customHeight="false" outlineLevel="0" collapsed="false">
      <c r="A19" s="23" t="s">
        <v>1231</v>
      </c>
      <c r="B19" s="23" t="n">
        <v>8</v>
      </c>
      <c r="C19" s="23" t="n">
        <v>99</v>
      </c>
      <c r="D19" s="30" t="n">
        <f aca="false">IFERROR(B19/C19,0)</f>
        <v>0.0808080808080808</v>
      </c>
      <c r="E19" s="23" t="n">
        <v>8.78</v>
      </c>
    </row>
    <row r="20" customFormat="false" ht="15" hidden="false" customHeight="false" outlineLevel="0" collapsed="false">
      <c r="A20" s="26" t="s">
        <v>1232</v>
      </c>
      <c r="B20" s="26" t="n">
        <v>8</v>
      </c>
      <c r="C20" s="26" t="n">
        <v>91</v>
      </c>
      <c r="D20" s="35" t="n">
        <f aca="false">IFERROR(B20/C20,0)</f>
        <v>0.0879120879120879</v>
      </c>
      <c r="E20" s="26" t="n">
        <v>6.46</v>
      </c>
    </row>
    <row r="21" customFormat="false" ht="15" hidden="false" customHeight="false" outlineLevel="0" collapsed="false">
      <c r="A21" s="23" t="s">
        <v>1233</v>
      </c>
      <c r="B21" s="23" t="n">
        <v>8</v>
      </c>
      <c r="C21" s="23" t="n">
        <v>44</v>
      </c>
      <c r="D21" s="30" t="n">
        <f aca="false">IFERROR(B21/C21,0)</f>
        <v>0.181818181818182</v>
      </c>
      <c r="E21" s="23" t="n">
        <v>5.52</v>
      </c>
    </row>
    <row r="22" customFormat="false" ht="15" hidden="false" customHeight="false" outlineLevel="0" collapsed="false">
      <c r="A22" s="26" t="s">
        <v>1234</v>
      </c>
      <c r="B22" s="26" t="n">
        <v>6</v>
      </c>
      <c r="C22" s="26" t="n">
        <v>153</v>
      </c>
      <c r="D22" s="35" t="n">
        <f aca="false">IFERROR(B22/C22,0)</f>
        <v>0.0392156862745098</v>
      </c>
      <c r="E22" s="26" t="n">
        <v>3.87</v>
      </c>
    </row>
    <row r="23" customFormat="false" ht="15" hidden="false" customHeight="false" outlineLevel="0" collapsed="false">
      <c r="A23" s="23" t="s">
        <v>1235</v>
      </c>
      <c r="B23" s="23" t="n">
        <v>6</v>
      </c>
      <c r="C23" s="23" t="n">
        <v>16</v>
      </c>
      <c r="D23" s="30" t="n">
        <f aca="false">IFERROR(B23/C23,0)</f>
        <v>0.375</v>
      </c>
      <c r="E23" s="23" t="n">
        <v>4.5</v>
      </c>
    </row>
    <row r="24" customFormat="false" ht="15" hidden="false" customHeight="false" outlineLevel="0" collapsed="false">
      <c r="A24" s="26" t="s">
        <v>1236</v>
      </c>
      <c r="B24" s="26" t="n">
        <v>5</v>
      </c>
      <c r="C24" s="26" t="n">
        <v>604</v>
      </c>
      <c r="D24" s="35" t="n">
        <f aca="false">IFERROR(B24/C24,0)</f>
        <v>0.00827814569536424</v>
      </c>
      <c r="E24" s="26" t="n">
        <v>14.93</v>
      </c>
    </row>
    <row r="25" customFormat="false" ht="15" hidden="false" customHeight="false" outlineLevel="0" collapsed="false">
      <c r="A25" s="23" t="s">
        <v>1237</v>
      </c>
      <c r="B25" s="23" t="n">
        <v>5</v>
      </c>
      <c r="C25" s="23" t="n">
        <v>206</v>
      </c>
      <c r="D25" s="30" t="n">
        <f aca="false">IFERROR(B25/C25,0)</f>
        <v>0.0242718446601942</v>
      </c>
      <c r="E25" s="23" t="n">
        <v>10.46</v>
      </c>
    </row>
    <row r="26" customFormat="false" ht="15" hidden="false" customHeight="false" outlineLevel="0" collapsed="false">
      <c r="A26" s="26" t="s">
        <v>1238</v>
      </c>
      <c r="B26" s="26" t="n">
        <v>5</v>
      </c>
      <c r="C26" s="26" t="n">
        <v>65</v>
      </c>
      <c r="D26" s="35" t="n">
        <f aca="false">IFERROR(B26/C26,0)</f>
        <v>0.0769230769230769</v>
      </c>
      <c r="E26" s="26" t="n">
        <v>4.46</v>
      </c>
    </row>
    <row r="27" customFormat="false" ht="15" hidden="false" customHeight="false" outlineLevel="0" collapsed="false">
      <c r="A27" s="23" t="s">
        <v>1239</v>
      </c>
      <c r="B27" s="23" t="n">
        <v>5</v>
      </c>
      <c r="C27" s="23" t="n">
        <v>47</v>
      </c>
      <c r="D27" s="30" t="n">
        <f aca="false">IFERROR(B27/C27,0)</f>
        <v>0.106382978723404</v>
      </c>
      <c r="E27" s="23" t="n">
        <v>13.36</v>
      </c>
    </row>
    <row r="28" customFormat="false" ht="15" hidden="false" customHeight="false" outlineLevel="0" collapsed="false">
      <c r="A28" s="26" t="s">
        <v>1240</v>
      </c>
      <c r="B28" s="26" t="n">
        <v>4</v>
      </c>
      <c r="C28" s="26" t="n">
        <v>190</v>
      </c>
      <c r="D28" s="35" t="n">
        <f aca="false">IFERROR(B28/C28,0)</f>
        <v>0.0210526315789474</v>
      </c>
      <c r="E28" s="26" t="n">
        <v>8.57</v>
      </c>
    </row>
    <row r="29" customFormat="false" ht="15" hidden="false" customHeight="false" outlineLevel="0" collapsed="false">
      <c r="A29" s="23" t="s">
        <v>1241</v>
      </c>
      <c r="B29" s="23" t="n">
        <v>4</v>
      </c>
      <c r="C29" s="23" t="n">
        <v>144</v>
      </c>
      <c r="D29" s="30" t="n">
        <f aca="false">IFERROR(B29/C29,0)</f>
        <v>0.0277777777777778</v>
      </c>
      <c r="E29" s="23" t="n">
        <v>23.43</v>
      </c>
    </row>
    <row r="30" customFormat="false" ht="15" hidden="false" customHeight="false" outlineLevel="0" collapsed="false">
      <c r="A30" s="26" t="s">
        <v>1242</v>
      </c>
      <c r="B30" s="26" t="n">
        <v>4</v>
      </c>
      <c r="C30" s="26" t="n">
        <v>58</v>
      </c>
      <c r="D30" s="35" t="n">
        <f aca="false">IFERROR(B30/C30,0)</f>
        <v>0.0689655172413793</v>
      </c>
      <c r="E30" s="26" t="n">
        <v>6.29</v>
      </c>
    </row>
    <row r="31" customFormat="false" ht="15" hidden="false" customHeight="false" outlineLevel="0" collapsed="false">
      <c r="A31" s="23" t="s">
        <v>1243</v>
      </c>
      <c r="B31" s="23" t="n">
        <v>4</v>
      </c>
      <c r="C31" s="23" t="n">
        <v>47</v>
      </c>
      <c r="D31" s="30" t="n">
        <f aca="false">IFERROR(B31/C31,0)</f>
        <v>0.0851063829787234</v>
      </c>
      <c r="E31" s="23" t="n">
        <v>8.34</v>
      </c>
    </row>
    <row r="32" customFormat="false" ht="15" hidden="false" customHeight="false" outlineLevel="0" collapsed="false">
      <c r="A32" s="26" t="s">
        <v>1244</v>
      </c>
      <c r="B32" s="26" t="n">
        <v>4</v>
      </c>
      <c r="C32" s="26" t="n">
        <v>33</v>
      </c>
      <c r="D32" s="35" t="n">
        <f aca="false">IFERROR(B32/C32,0)</f>
        <v>0.121212121212121</v>
      </c>
      <c r="E32" s="26" t="n">
        <v>7.73</v>
      </c>
    </row>
    <row r="33" customFormat="false" ht="15" hidden="false" customHeight="false" outlineLevel="0" collapsed="false">
      <c r="A33" s="23" t="s">
        <v>1245</v>
      </c>
      <c r="B33" s="23" t="n">
        <v>3</v>
      </c>
      <c r="C33" s="23" t="n">
        <v>177</v>
      </c>
      <c r="D33" s="30" t="n">
        <f aca="false">IFERROR(B33/C33,0)</f>
        <v>0.0169491525423729</v>
      </c>
      <c r="E33" s="23" t="n">
        <v>32.12</v>
      </c>
    </row>
    <row r="34" customFormat="false" ht="15" hidden="false" customHeight="false" outlineLevel="0" collapsed="false">
      <c r="A34" s="26" t="s">
        <v>1246</v>
      </c>
      <c r="B34" s="26" t="n">
        <v>3</v>
      </c>
      <c r="C34" s="26" t="n">
        <v>174</v>
      </c>
      <c r="D34" s="35" t="n">
        <f aca="false">IFERROR(B34/C34,0)</f>
        <v>0.0172413793103448</v>
      </c>
      <c r="E34" s="26" t="n">
        <v>8.3</v>
      </c>
    </row>
    <row r="35" customFormat="false" ht="15" hidden="false" customHeight="false" outlineLevel="0" collapsed="false">
      <c r="A35" s="23" t="s">
        <v>1247</v>
      </c>
      <c r="B35" s="23" t="n">
        <v>3</v>
      </c>
      <c r="C35" s="23" t="n">
        <v>151</v>
      </c>
      <c r="D35" s="30" t="n">
        <f aca="false">IFERROR(B35/C35,0)</f>
        <v>0.0198675496688742</v>
      </c>
      <c r="E35" s="23" t="n">
        <v>19.68</v>
      </c>
    </row>
    <row r="36" customFormat="false" ht="15" hidden="false" customHeight="false" outlineLevel="0" collapsed="false">
      <c r="A36" s="26" t="s">
        <v>1248</v>
      </c>
      <c r="B36" s="26" t="n">
        <v>3</v>
      </c>
      <c r="C36" s="26" t="n">
        <v>140</v>
      </c>
      <c r="D36" s="35" t="n">
        <f aca="false">IFERROR(B36/C36,0)</f>
        <v>0.0214285714285714</v>
      </c>
      <c r="E36" s="26" t="n">
        <v>11.17</v>
      </c>
    </row>
    <row r="37" customFormat="false" ht="15" hidden="false" customHeight="false" outlineLevel="0" collapsed="false">
      <c r="A37" s="23" t="s">
        <v>1249</v>
      </c>
      <c r="B37" s="23" t="n">
        <v>3</v>
      </c>
      <c r="C37" s="23" t="n">
        <v>134</v>
      </c>
      <c r="D37" s="30" t="n">
        <f aca="false">IFERROR(B37/C37,0)</f>
        <v>0.0223880597014925</v>
      </c>
      <c r="E37" s="23" t="n">
        <v>5.76</v>
      </c>
    </row>
    <row r="38" customFormat="false" ht="15" hidden="false" customHeight="false" outlineLevel="0" collapsed="false">
      <c r="A38" s="26" t="s">
        <v>1250</v>
      </c>
      <c r="B38" s="26" t="n">
        <v>2</v>
      </c>
      <c r="C38" s="26" t="n">
        <v>145</v>
      </c>
      <c r="D38" s="35" t="n">
        <f aca="false">IFERROR(B38/C38,0)</f>
        <v>0.0137931034482759</v>
      </c>
      <c r="E38" s="26" t="n">
        <v>5.37</v>
      </c>
    </row>
    <row r="39" customFormat="false" ht="15" hidden="false" customHeight="false" outlineLevel="0" collapsed="false">
      <c r="A39" s="23" t="s">
        <v>1251</v>
      </c>
      <c r="B39" s="23" t="n">
        <v>2</v>
      </c>
      <c r="C39" s="23" t="n">
        <v>102</v>
      </c>
      <c r="D39" s="30" t="n">
        <f aca="false">IFERROR(B39/C39,0)</f>
        <v>0.0196078431372549</v>
      </c>
      <c r="E39" s="23" t="n">
        <v>17.25</v>
      </c>
    </row>
    <row r="40" customFormat="false" ht="15" hidden="false" customHeight="false" outlineLevel="0" collapsed="false">
      <c r="A40" s="26" t="s">
        <v>1252</v>
      </c>
      <c r="B40" s="26" t="n">
        <v>2</v>
      </c>
      <c r="C40" s="26" t="n">
        <v>9</v>
      </c>
      <c r="D40" s="35" t="n">
        <f aca="false">IFERROR(B40/C40,0)</f>
        <v>0.222222222222222</v>
      </c>
      <c r="E40" s="26" t="n">
        <v>3.78</v>
      </c>
    </row>
    <row r="41" customFormat="false" ht="15" hidden="false" customHeight="false" outlineLevel="0" collapsed="false">
      <c r="A41" s="23" t="s">
        <v>1253</v>
      </c>
      <c r="B41" s="23" t="n">
        <v>1</v>
      </c>
      <c r="C41" s="23" t="n">
        <v>600</v>
      </c>
      <c r="D41" s="30" t="n">
        <f aca="false">IFERROR(B41/C41,0)</f>
        <v>0.00166666666666667</v>
      </c>
      <c r="E41" s="23" t="n">
        <v>9.01</v>
      </c>
    </row>
    <row r="42" customFormat="false" ht="15" hidden="false" customHeight="false" outlineLevel="0" collapsed="false">
      <c r="A42" s="26" t="s">
        <v>1254</v>
      </c>
      <c r="B42" s="26" t="n">
        <v>1</v>
      </c>
      <c r="C42" s="26" t="n">
        <v>343</v>
      </c>
      <c r="D42" s="35" t="n">
        <f aca="false">IFERROR(B42/C42,0)</f>
        <v>0.00291545189504373</v>
      </c>
      <c r="E42" s="26" t="n">
        <v>18.16</v>
      </c>
    </row>
    <row r="43" customFormat="false" ht="15" hidden="false" customHeight="false" outlineLevel="0" collapsed="false">
      <c r="A43" s="23" t="s">
        <v>1255</v>
      </c>
      <c r="B43" s="23" t="n">
        <v>1</v>
      </c>
      <c r="C43" s="23" t="n">
        <v>247</v>
      </c>
      <c r="D43" s="30" t="n">
        <f aca="false">IFERROR(B43/C43,0)</f>
        <v>0.00404858299595142</v>
      </c>
      <c r="E43" s="23" t="n">
        <v>19.32</v>
      </c>
    </row>
    <row r="44" customFormat="false" ht="15" hidden="false" customHeight="false" outlineLevel="0" collapsed="false">
      <c r="A44" s="26" t="s">
        <v>1256</v>
      </c>
      <c r="B44" s="26" t="n">
        <v>1</v>
      </c>
      <c r="C44" s="26" t="n">
        <v>120</v>
      </c>
      <c r="D44" s="35" t="n">
        <f aca="false">IFERROR(B44/C44,0)</f>
        <v>0.00833333333333333</v>
      </c>
      <c r="E44" s="26" t="n">
        <v>7.37</v>
      </c>
    </row>
    <row r="45" customFormat="false" ht="15" hidden="false" customHeight="false" outlineLevel="0" collapsed="false">
      <c r="A45" s="23" t="s">
        <v>1257</v>
      </c>
      <c r="B45" s="23" t="n">
        <v>1</v>
      </c>
      <c r="C45" s="23" t="n">
        <v>100</v>
      </c>
      <c r="D45" s="30" t="n">
        <f aca="false">IFERROR(B45/C45,0)</f>
        <v>0.01</v>
      </c>
      <c r="E45" s="23" t="n">
        <v>9.55</v>
      </c>
    </row>
    <row r="46" customFormat="false" ht="15" hidden="false" customHeight="false" outlineLevel="0" collapsed="false">
      <c r="A46" s="26" t="s">
        <v>1258</v>
      </c>
      <c r="B46" s="26" t="n">
        <v>1</v>
      </c>
      <c r="C46" s="26" t="n">
        <v>83</v>
      </c>
      <c r="D46" s="35" t="n">
        <f aca="false">IFERROR(B46/C46,0)</f>
        <v>0.0120481927710843</v>
      </c>
      <c r="E46" s="26" t="n">
        <v>7.34</v>
      </c>
    </row>
    <row r="47" customFormat="false" ht="15" hidden="false" customHeight="false" outlineLevel="0" collapsed="false">
      <c r="A47" s="23" t="s">
        <v>1259</v>
      </c>
      <c r="B47" s="23" t="n">
        <v>1</v>
      </c>
      <c r="C47" s="23" t="n">
        <v>57</v>
      </c>
      <c r="D47" s="30" t="n">
        <f aca="false">IFERROR(B47/C47,0)</f>
        <v>0.0175438596491228</v>
      </c>
      <c r="E47" s="23" t="n">
        <v>9.39</v>
      </c>
    </row>
    <row r="48" customFormat="false" ht="15" hidden="false" customHeight="false" outlineLevel="0" collapsed="false">
      <c r="A48" s="26" t="s">
        <v>1260</v>
      </c>
      <c r="B48" s="26" t="n">
        <v>1</v>
      </c>
      <c r="C48" s="26" t="n">
        <v>54</v>
      </c>
      <c r="D48" s="35" t="n">
        <f aca="false">IFERROR(B48/C48,0)</f>
        <v>0.0185185185185185</v>
      </c>
      <c r="E48" s="26" t="n">
        <v>16.37</v>
      </c>
    </row>
    <row r="49" customFormat="false" ht="15" hidden="false" customHeight="false" outlineLevel="0" collapsed="false">
      <c r="A49" s="23" t="s">
        <v>1261</v>
      </c>
      <c r="B49" s="23" t="n">
        <v>1</v>
      </c>
      <c r="C49" s="23" t="n">
        <v>46</v>
      </c>
      <c r="D49" s="30" t="n">
        <f aca="false">IFERROR(B49/C49,0)</f>
        <v>0.0217391304347826</v>
      </c>
      <c r="E49" s="23" t="n">
        <v>6.57</v>
      </c>
    </row>
    <row r="50" customFormat="false" ht="15" hidden="false" customHeight="false" outlineLevel="0" collapsed="false">
      <c r="A50" s="26" t="s">
        <v>1262</v>
      </c>
      <c r="B50" s="26" t="n">
        <v>1</v>
      </c>
      <c r="C50" s="26" t="n">
        <v>27</v>
      </c>
      <c r="D50" s="35" t="n">
        <f aca="false">IFERROR(B50/C50,0)</f>
        <v>0.037037037037037</v>
      </c>
      <c r="E50" s="26" t="n">
        <v>6</v>
      </c>
    </row>
    <row r="51" customFormat="false" ht="15" hidden="false" customHeight="false" outlineLevel="0" collapsed="false">
      <c r="A51" s="23" t="s">
        <v>1263</v>
      </c>
      <c r="B51" s="23" t="n">
        <v>1</v>
      </c>
      <c r="C51" s="23" t="n">
        <v>20</v>
      </c>
      <c r="D51" s="30" t="n">
        <f aca="false">IFERROR(B51/C51,0)</f>
        <v>0.05</v>
      </c>
      <c r="E51" s="23" t="n">
        <v>6.3</v>
      </c>
    </row>
    <row r="52" customFormat="false" ht="15" hidden="false" customHeight="false" outlineLevel="0" collapsed="false">
      <c r="A52" s="26" t="s">
        <v>1264</v>
      </c>
      <c r="B52" s="26" t="n">
        <v>1</v>
      </c>
      <c r="C52" s="26" t="n">
        <v>12</v>
      </c>
      <c r="D52" s="35" t="n">
        <f aca="false">IFERROR(B52/C52,0)</f>
        <v>0.0833333333333333</v>
      </c>
      <c r="E52" s="26" t="n">
        <v>6.17</v>
      </c>
    </row>
    <row r="53" customFormat="false" ht="15" hidden="false" customHeight="false" outlineLevel="0" collapsed="false">
      <c r="A53" s="23" t="s">
        <v>1265</v>
      </c>
      <c r="B53" s="23" t="n">
        <v>1</v>
      </c>
      <c r="C53" s="23" t="n">
        <v>11</v>
      </c>
      <c r="D53" s="30" t="n">
        <f aca="false">IFERROR(B53/C53,0)</f>
        <v>0.0909090909090909</v>
      </c>
      <c r="E53" s="23" t="n">
        <v>7.45</v>
      </c>
    </row>
    <row r="54" customFormat="false" ht="15" hidden="false" customHeight="false" outlineLevel="0" collapsed="false">
      <c r="A54" s="26" t="s">
        <v>1266</v>
      </c>
      <c r="B54" s="26" t="n">
        <v>1</v>
      </c>
      <c r="C54" s="26" t="n">
        <v>6</v>
      </c>
      <c r="D54" s="35" t="n">
        <f aca="false">IFERROR(B54/C54,0)</f>
        <v>0.166666666666667</v>
      </c>
      <c r="E54" s="26" t="n">
        <v>14</v>
      </c>
    </row>
    <row r="55" customFormat="false" ht="15" hidden="false" customHeight="false" outlineLevel="0" collapsed="false">
      <c r="A55" s="23" t="s">
        <v>1267</v>
      </c>
      <c r="B55" s="23" t="n">
        <v>1</v>
      </c>
      <c r="C55" s="23" t="n">
        <v>5</v>
      </c>
      <c r="D55" s="30" t="n">
        <f aca="false">IFERROR(B55/C55,0)</f>
        <v>0.2</v>
      </c>
      <c r="E55" s="23" t="n">
        <v>3</v>
      </c>
    </row>
    <row r="56" customFormat="false" ht="15" hidden="false" customHeight="false" outlineLevel="0" collapsed="false">
      <c r="A56" s="26" t="s">
        <v>1268</v>
      </c>
      <c r="B56" s="26" t="n">
        <v>1</v>
      </c>
      <c r="C56" s="26" t="n">
        <v>2</v>
      </c>
      <c r="D56" s="35" t="n">
        <f aca="false">IFERROR(B56/C56,0)</f>
        <v>0.5</v>
      </c>
      <c r="E56" s="26" t="n">
        <v>2</v>
      </c>
    </row>
    <row r="57" customFormat="false" ht="15" hidden="false" customHeight="false" outlineLevel="0" collapsed="false">
      <c r="A57" s="23" t="s">
        <v>1269</v>
      </c>
      <c r="B57" s="23" t="n">
        <v>1</v>
      </c>
      <c r="C57" s="23" t="n">
        <v>2</v>
      </c>
      <c r="D57" s="30" t="n">
        <f aca="false">IFERROR(B57/C57,0)</f>
        <v>0.5</v>
      </c>
      <c r="E57" s="23" t="n">
        <v>5</v>
      </c>
    </row>
    <row r="58" customFormat="false" ht="15" hidden="false" customHeight="false" outlineLevel="0" collapsed="false">
      <c r="A58" s="26" t="s">
        <v>1270</v>
      </c>
      <c r="B58" s="26" t="n">
        <v>0</v>
      </c>
      <c r="C58" s="26" t="n">
        <v>331</v>
      </c>
      <c r="D58" s="35" t="n">
        <f aca="false">IFERROR(B58/C58,0)</f>
        <v>0</v>
      </c>
      <c r="E58" s="26" t="n">
        <v>19.85</v>
      </c>
    </row>
    <row r="59" customFormat="false" ht="15" hidden="false" customHeight="false" outlineLevel="0" collapsed="false">
      <c r="A59" s="23" t="s">
        <v>1271</v>
      </c>
      <c r="B59" s="23" t="n">
        <v>0</v>
      </c>
      <c r="C59" s="23" t="n">
        <v>191</v>
      </c>
      <c r="D59" s="30" t="n">
        <f aca="false">IFERROR(B59/C59,0)</f>
        <v>0</v>
      </c>
      <c r="E59" s="23" t="n">
        <v>20.29</v>
      </c>
    </row>
    <row r="60" customFormat="false" ht="15" hidden="false" customHeight="false" outlineLevel="0" collapsed="false">
      <c r="A60" s="26" t="s">
        <v>1272</v>
      </c>
      <c r="B60" s="26" t="n">
        <v>0</v>
      </c>
      <c r="C60" s="26" t="n">
        <v>141</v>
      </c>
      <c r="D60" s="35" t="n">
        <f aca="false">IFERROR(B60/C60,0)</f>
        <v>0</v>
      </c>
      <c r="E60" s="26" t="n">
        <v>18.01</v>
      </c>
    </row>
    <row r="61" customFormat="false" ht="15" hidden="false" customHeight="false" outlineLevel="0" collapsed="false">
      <c r="A61" s="23" t="s">
        <v>1273</v>
      </c>
      <c r="B61" s="23" t="n">
        <v>0</v>
      </c>
      <c r="C61" s="23" t="n">
        <v>106</v>
      </c>
      <c r="D61" s="30" t="n">
        <f aca="false">IFERROR(B61/C61,0)</f>
        <v>0</v>
      </c>
      <c r="E61" s="23" t="n">
        <v>9.35</v>
      </c>
    </row>
    <row r="62" customFormat="false" ht="15" hidden="false" customHeight="false" outlineLevel="0" collapsed="false">
      <c r="A62" s="26" t="s">
        <v>1274</v>
      </c>
      <c r="B62" s="26" t="n">
        <v>0</v>
      </c>
      <c r="C62" s="26" t="n">
        <v>85</v>
      </c>
      <c r="D62" s="35" t="n">
        <f aca="false">IFERROR(B62/C62,0)</f>
        <v>0</v>
      </c>
      <c r="E62" s="26" t="n">
        <v>7.62</v>
      </c>
    </row>
    <row r="63" customFormat="false" ht="15" hidden="false" customHeight="false" outlineLevel="0" collapsed="false">
      <c r="A63" s="23" t="s">
        <v>1275</v>
      </c>
      <c r="B63" s="23" t="n">
        <v>0</v>
      </c>
      <c r="C63" s="23" t="n">
        <v>67</v>
      </c>
      <c r="D63" s="30" t="n">
        <f aca="false">IFERROR(B63/C63,0)</f>
        <v>0</v>
      </c>
      <c r="E63" s="23" t="n">
        <v>24.88</v>
      </c>
    </row>
    <row r="64" customFormat="false" ht="15" hidden="false" customHeight="false" outlineLevel="0" collapsed="false">
      <c r="A64" s="26" t="s">
        <v>1276</v>
      </c>
      <c r="B64" s="26" t="n">
        <v>0</v>
      </c>
      <c r="C64" s="26" t="n">
        <v>46</v>
      </c>
      <c r="D64" s="35" t="n">
        <f aca="false">IFERROR(B64/C64,0)</f>
        <v>0</v>
      </c>
      <c r="E64" s="26" t="n">
        <v>5.89</v>
      </c>
    </row>
    <row r="65" customFormat="false" ht="15" hidden="false" customHeight="false" outlineLevel="0" collapsed="false">
      <c r="A65" s="23" t="s">
        <v>1277</v>
      </c>
      <c r="B65" s="23" t="n">
        <v>0</v>
      </c>
      <c r="C65" s="23" t="n">
        <v>44</v>
      </c>
      <c r="D65" s="30" t="n">
        <f aca="false">IFERROR(B65/C65,0)</f>
        <v>0</v>
      </c>
      <c r="E65" s="23" t="n">
        <v>7.82</v>
      </c>
    </row>
    <row r="66" customFormat="false" ht="15" hidden="false" customHeight="false" outlineLevel="0" collapsed="false">
      <c r="A66" s="26" t="s">
        <v>1278</v>
      </c>
      <c r="B66" s="26" t="n">
        <v>0</v>
      </c>
      <c r="C66" s="26" t="n">
        <v>40</v>
      </c>
      <c r="D66" s="35" t="n">
        <f aca="false">IFERROR(B66/C66,0)</f>
        <v>0</v>
      </c>
      <c r="E66" s="26" t="n">
        <v>5.6</v>
      </c>
    </row>
    <row r="67" customFormat="false" ht="15" hidden="false" customHeight="false" outlineLevel="0" collapsed="false">
      <c r="A67" s="23" t="s">
        <v>1279</v>
      </c>
      <c r="B67" s="23" t="n">
        <v>0</v>
      </c>
      <c r="C67" s="23" t="n">
        <v>38</v>
      </c>
      <c r="D67" s="30" t="n">
        <f aca="false">IFERROR(B67/C67,0)</f>
        <v>0</v>
      </c>
      <c r="E67" s="23" t="n">
        <v>6.76</v>
      </c>
    </row>
    <row r="68" customFormat="false" ht="15" hidden="false" customHeight="false" outlineLevel="0" collapsed="false">
      <c r="A68" s="26" t="s">
        <v>1280</v>
      </c>
      <c r="B68" s="26" t="n">
        <v>0</v>
      </c>
      <c r="C68" s="26" t="n">
        <v>37</v>
      </c>
      <c r="D68" s="35" t="n">
        <f aca="false">IFERROR(B68/C68,0)</f>
        <v>0</v>
      </c>
      <c r="E68" s="26" t="n">
        <v>13.11</v>
      </c>
    </row>
    <row r="69" customFormat="false" ht="15" hidden="false" customHeight="false" outlineLevel="0" collapsed="false">
      <c r="A69" s="23" t="s">
        <v>1281</v>
      </c>
      <c r="B69" s="23" t="n">
        <v>0</v>
      </c>
      <c r="C69" s="23" t="n">
        <v>35</v>
      </c>
      <c r="D69" s="30" t="n">
        <f aca="false">IFERROR(B69/C69,0)</f>
        <v>0</v>
      </c>
      <c r="E69" s="23" t="n">
        <v>5.43</v>
      </c>
    </row>
    <row r="70" customFormat="false" ht="15" hidden="false" customHeight="false" outlineLevel="0" collapsed="false">
      <c r="A70" s="26" t="s">
        <v>1282</v>
      </c>
      <c r="B70" s="26" t="n">
        <v>0</v>
      </c>
      <c r="C70" s="26" t="n">
        <v>34</v>
      </c>
      <c r="D70" s="35" t="n">
        <f aca="false">IFERROR(B70/C70,0)</f>
        <v>0</v>
      </c>
      <c r="E70" s="26" t="n">
        <v>6.82</v>
      </c>
    </row>
    <row r="71" customFormat="false" ht="15" hidden="false" customHeight="false" outlineLevel="0" collapsed="false">
      <c r="A71" s="23" t="s">
        <v>1283</v>
      </c>
      <c r="B71" s="23" t="n">
        <v>0</v>
      </c>
      <c r="C71" s="23" t="n">
        <v>33</v>
      </c>
      <c r="D71" s="30" t="n">
        <f aca="false">IFERROR(B71/C71,0)</f>
        <v>0</v>
      </c>
      <c r="E71" s="23" t="n">
        <v>9.33</v>
      </c>
    </row>
    <row r="72" customFormat="false" ht="15" hidden="false" customHeight="false" outlineLevel="0" collapsed="false">
      <c r="A72" s="26" t="s">
        <v>1284</v>
      </c>
      <c r="B72" s="26" t="n">
        <v>0</v>
      </c>
      <c r="C72" s="26" t="n">
        <v>32</v>
      </c>
      <c r="D72" s="35" t="n">
        <f aca="false">IFERROR(B72/C72,0)</f>
        <v>0</v>
      </c>
      <c r="E72" s="26" t="n">
        <v>11.59</v>
      </c>
    </row>
    <row r="73" customFormat="false" ht="15" hidden="false" customHeight="false" outlineLevel="0" collapsed="false">
      <c r="A73" s="23" t="s">
        <v>1285</v>
      </c>
      <c r="B73" s="23" t="n">
        <v>0</v>
      </c>
      <c r="C73" s="23" t="n">
        <v>30</v>
      </c>
      <c r="D73" s="30" t="n">
        <f aca="false">IFERROR(B73/C73,0)</f>
        <v>0</v>
      </c>
      <c r="E73" s="23" t="n">
        <v>27.3</v>
      </c>
    </row>
    <row r="74" customFormat="false" ht="15" hidden="false" customHeight="false" outlineLevel="0" collapsed="false">
      <c r="A74" s="26" t="s">
        <v>1286</v>
      </c>
      <c r="B74" s="26" t="n">
        <v>0</v>
      </c>
      <c r="C74" s="26" t="n">
        <v>28</v>
      </c>
      <c r="D74" s="35" t="n">
        <f aca="false">IFERROR(B74/C74,0)</f>
        <v>0</v>
      </c>
      <c r="E74" s="26" t="n">
        <v>7.54</v>
      </c>
    </row>
    <row r="75" customFormat="false" ht="15" hidden="false" customHeight="false" outlineLevel="0" collapsed="false">
      <c r="A75" s="23" t="s">
        <v>1287</v>
      </c>
      <c r="B75" s="23" t="n">
        <v>0</v>
      </c>
      <c r="C75" s="23" t="n">
        <v>28</v>
      </c>
      <c r="D75" s="30" t="n">
        <f aca="false">IFERROR(B75/C75,0)</f>
        <v>0</v>
      </c>
      <c r="E75" s="23" t="n">
        <v>9</v>
      </c>
    </row>
    <row r="76" customFormat="false" ht="15" hidden="false" customHeight="false" outlineLevel="0" collapsed="false">
      <c r="A76" s="26" t="s">
        <v>1288</v>
      </c>
      <c r="B76" s="26" t="n">
        <v>0</v>
      </c>
      <c r="C76" s="26" t="n">
        <v>21</v>
      </c>
      <c r="D76" s="35" t="n">
        <f aca="false">IFERROR(B76/C76,0)</f>
        <v>0</v>
      </c>
      <c r="E76" s="26" t="n">
        <v>7.43</v>
      </c>
    </row>
    <row r="77" customFormat="false" ht="15" hidden="false" customHeight="false" outlineLevel="0" collapsed="false">
      <c r="A77" s="23" t="s">
        <v>1289</v>
      </c>
      <c r="B77" s="23" t="n">
        <v>0</v>
      </c>
      <c r="C77" s="23" t="n">
        <v>20</v>
      </c>
      <c r="D77" s="30" t="n">
        <f aca="false">IFERROR(B77/C77,0)</f>
        <v>0</v>
      </c>
      <c r="E77" s="23" t="n">
        <v>6.5</v>
      </c>
    </row>
    <row r="78" customFormat="false" ht="15" hidden="false" customHeight="false" outlineLevel="0" collapsed="false">
      <c r="A78" s="26" t="s">
        <v>1290</v>
      </c>
      <c r="B78" s="26" t="n">
        <v>0</v>
      </c>
      <c r="C78" s="26" t="n">
        <v>20</v>
      </c>
      <c r="D78" s="35" t="n">
        <f aca="false">IFERROR(B78/C78,0)</f>
        <v>0</v>
      </c>
      <c r="E78" s="26" t="n">
        <v>27.1</v>
      </c>
    </row>
    <row r="79" customFormat="false" ht="15" hidden="false" customHeight="false" outlineLevel="0" collapsed="false">
      <c r="A79" s="23" t="s">
        <v>1291</v>
      </c>
      <c r="B79" s="23" t="n">
        <v>0</v>
      </c>
      <c r="C79" s="23" t="n">
        <v>16</v>
      </c>
      <c r="D79" s="30" t="n">
        <f aca="false">IFERROR(B79/C79,0)</f>
        <v>0</v>
      </c>
      <c r="E79" s="23" t="n">
        <v>7.88</v>
      </c>
    </row>
    <row r="80" customFormat="false" ht="15" hidden="false" customHeight="false" outlineLevel="0" collapsed="false">
      <c r="A80" s="26" t="s">
        <v>1292</v>
      </c>
      <c r="B80" s="26" t="n">
        <v>0</v>
      </c>
      <c r="C80" s="26" t="n">
        <v>16</v>
      </c>
      <c r="D80" s="35" t="n">
        <f aca="false">IFERROR(B80/C80,0)</f>
        <v>0</v>
      </c>
      <c r="E80" s="26" t="n">
        <v>12.62</v>
      </c>
    </row>
    <row r="81" customFormat="false" ht="15" hidden="false" customHeight="false" outlineLevel="0" collapsed="false">
      <c r="A81" s="23" t="s">
        <v>1293</v>
      </c>
      <c r="B81" s="23" t="n">
        <v>0</v>
      </c>
      <c r="C81" s="23" t="n">
        <v>15</v>
      </c>
      <c r="D81" s="30" t="n">
        <f aca="false">IFERROR(B81/C81,0)</f>
        <v>0</v>
      </c>
      <c r="E81" s="23" t="n">
        <v>5.33</v>
      </c>
    </row>
    <row r="82" customFormat="false" ht="15" hidden="false" customHeight="false" outlineLevel="0" collapsed="false">
      <c r="A82" s="26" t="s">
        <v>1294</v>
      </c>
      <c r="B82" s="26" t="n">
        <v>0</v>
      </c>
      <c r="C82" s="26" t="n">
        <v>15</v>
      </c>
      <c r="D82" s="35" t="n">
        <f aca="false">IFERROR(B82/C82,0)</f>
        <v>0</v>
      </c>
      <c r="E82" s="26" t="n">
        <v>10.6</v>
      </c>
    </row>
    <row r="83" customFormat="false" ht="15" hidden="false" customHeight="false" outlineLevel="0" collapsed="false">
      <c r="A83" s="23" t="s">
        <v>1295</v>
      </c>
      <c r="B83" s="23" t="n">
        <v>0</v>
      </c>
      <c r="C83" s="23" t="n">
        <v>14</v>
      </c>
      <c r="D83" s="30" t="n">
        <f aca="false">IFERROR(B83/C83,0)</f>
        <v>0</v>
      </c>
      <c r="E83" s="23" t="n">
        <v>4.36</v>
      </c>
    </row>
    <row r="84" customFormat="false" ht="15" hidden="false" customHeight="false" outlineLevel="0" collapsed="false">
      <c r="A84" s="26" t="s">
        <v>1296</v>
      </c>
      <c r="B84" s="26" t="n">
        <v>0</v>
      </c>
      <c r="C84" s="26" t="n">
        <v>14</v>
      </c>
      <c r="D84" s="35" t="n">
        <f aca="false">IFERROR(B84/C84,0)</f>
        <v>0</v>
      </c>
      <c r="E84" s="26" t="n">
        <v>4.36</v>
      </c>
    </row>
    <row r="85" customFormat="false" ht="15" hidden="false" customHeight="false" outlineLevel="0" collapsed="false">
      <c r="A85" s="23" t="s">
        <v>1297</v>
      </c>
      <c r="B85" s="23" t="n">
        <v>0</v>
      </c>
      <c r="C85" s="23" t="n">
        <v>14</v>
      </c>
      <c r="D85" s="30" t="n">
        <f aca="false">IFERROR(B85/C85,0)</f>
        <v>0</v>
      </c>
      <c r="E85" s="23" t="n">
        <v>6.14</v>
      </c>
    </row>
    <row r="86" customFormat="false" ht="15" hidden="false" customHeight="false" outlineLevel="0" collapsed="false">
      <c r="A86" s="26" t="s">
        <v>1298</v>
      </c>
      <c r="B86" s="26" t="n">
        <v>0</v>
      </c>
      <c r="C86" s="26" t="n">
        <v>13</v>
      </c>
      <c r="D86" s="35" t="n">
        <f aca="false">IFERROR(B86/C86,0)</f>
        <v>0</v>
      </c>
      <c r="E86" s="26" t="n">
        <v>8.23</v>
      </c>
    </row>
    <row r="87" customFormat="false" ht="15" hidden="false" customHeight="false" outlineLevel="0" collapsed="false">
      <c r="A87" s="23" t="s">
        <v>1299</v>
      </c>
      <c r="B87" s="23" t="n">
        <v>0</v>
      </c>
      <c r="C87" s="23" t="n">
        <v>13</v>
      </c>
      <c r="D87" s="30" t="n">
        <f aca="false">IFERROR(B87/C87,0)</f>
        <v>0</v>
      </c>
      <c r="E87" s="23" t="n">
        <v>10.69</v>
      </c>
    </row>
    <row r="88" customFormat="false" ht="15" hidden="false" customHeight="false" outlineLevel="0" collapsed="false">
      <c r="A88" s="26" t="s">
        <v>1300</v>
      </c>
      <c r="B88" s="26" t="n">
        <v>0</v>
      </c>
      <c r="C88" s="26" t="n">
        <v>12</v>
      </c>
      <c r="D88" s="35" t="n">
        <f aca="false">IFERROR(B88/C88,0)</f>
        <v>0</v>
      </c>
      <c r="E88" s="26" t="n">
        <v>6.25</v>
      </c>
    </row>
    <row r="89" customFormat="false" ht="15" hidden="false" customHeight="false" outlineLevel="0" collapsed="false">
      <c r="A89" s="23" t="s">
        <v>1301</v>
      </c>
      <c r="B89" s="23" t="n">
        <v>0</v>
      </c>
      <c r="C89" s="23" t="n">
        <v>12</v>
      </c>
      <c r="D89" s="30" t="n">
        <f aca="false">IFERROR(B89/C89,0)</f>
        <v>0</v>
      </c>
      <c r="E89" s="23" t="n">
        <v>7.67</v>
      </c>
    </row>
    <row r="90" customFormat="false" ht="15" hidden="false" customHeight="false" outlineLevel="0" collapsed="false">
      <c r="A90" s="26" t="s">
        <v>1302</v>
      </c>
      <c r="B90" s="26" t="n">
        <v>0</v>
      </c>
      <c r="C90" s="26" t="n">
        <v>12</v>
      </c>
      <c r="D90" s="35" t="n">
        <f aca="false">IFERROR(B90/C90,0)</f>
        <v>0</v>
      </c>
      <c r="E90" s="26" t="n">
        <v>12.17</v>
      </c>
    </row>
    <row r="91" customFormat="false" ht="15" hidden="false" customHeight="false" outlineLevel="0" collapsed="false">
      <c r="A91" s="23" t="s">
        <v>1303</v>
      </c>
      <c r="B91" s="23" t="n">
        <v>0</v>
      </c>
      <c r="C91" s="23" t="n">
        <v>10</v>
      </c>
      <c r="D91" s="30" t="n">
        <f aca="false">IFERROR(B91/C91,0)</f>
        <v>0</v>
      </c>
      <c r="E91" s="23" t="n">
        <v>7</v>
      </c>
    </row>
    <row r="92" customFormat="false" ht="15" hidden="false" customHeight="false" outlineLevel="0" collapsed="false">
      <c r="A92" s="26" t="s">
        <v>1304</v>
      </c>
      <c r="B92" s="26" t="n">
        <v>0</v>
      </c>
      <c r="C92" s="26" t="n">
        <v>10</v>
      </c>
      <c r="D92" s="35" t="n">
        <f aca="false">IFERROR(B92/C92,0)</f>
        <v>0</v>
      </c>
      <c r="E92" s="26" t="n">
        <v>8.2</v>
      </c>
    </row>
    <row r="93" customFormat="false" ht="15" hidden="false" customHeight="false" outlineLevel="0" collapsed="false">
      <c r="A93" s="23" t="s">
        <v>1305</v>
      </c>
      <c r="B93" s="23" t="n">
        <v>0</v>
      </c>
      <c r="C93" s="23" t="n">
        <v>10</v>
      </c>
      <c r="D93" s="30" t="n">
        <f aca="false">IFERROR(B93/C93,0)</f>
        <v>0</v>
      </c>
      <c r="E93" s="23" t="n">
        <v>11.2</v>
      </c>
    </row>
    <row r="94" customFormat="false" ht="15" hidden="false" customHeight="false" outlineLevel="0" collapsed="false">
      <c r="A94" s="26" t="s">
        <v>1306</v>
      </c>
      <c r="B94" s="26" t="n">
        <v>0</v>
      </c>
      <c r="C94" s="26" t="n">
        <v>9</v>
      </c>
      <c r="D94" s="35" t="n">
        <f aca="false">IFERROR(B94/C94,0)</f>
        <v>0</v>
      </c>
      <c r="E94" s="26" t="n">
        <v>8</v>
      </c>
    </row>
    <row r="95" customFormat="false" ht="15" hidden="false" customHeight="false" outlineLevel="0" collapsed="false">
      <c r="A95" s="23" t="s">
        <v>1307</v>
      </c>
      <c r="B95" s="23" t="n">
        <v>0</v>
      </c>
      <c r="C95" s="23" t="n">
        <v>9</v>
      </c>
      <c r="D95" s="30" t="n">
        <f aca="false">IFERROR(B95/C95,0)</f>
        <v>0</v>
      </c>
      <c r="E95" s="23" t="n">
        <v>8</v>
      </c>
    </row>
    <row r="96" customFormat="false" ht="15" hidden="false" customHeight="false" outlineLevel="0" collapsed="false">
      <c r="A96" s="26" t="s">
        <v>1308</v>
      </c>
      <c r="B96" s="26" t="n">
        <v>0</v>
      </c>
      <c r="C96" s="26" t="n">
        <v>9</v>
      </c>
      <c r="D96" s="35" t="n">
        <f aca="false">IFERROR(B96/C96,0)</f>
        <v>0</v>
      </c>
      <c r="E96" s="26" t="n">
        <v>9.67</v>
      </c>
    </row>
    <row r="97" customFormat="false" ht="15" hidden="false" customHeight="false" outlineLevel="0" collapsed="false">
      <c r="A97" s="23" t="s">
        <v>1309</v>
      </c>
      <c r="B97" s="23" t="n">
        <v>0</v>
      </c>
      <c r="C97" s="23" t="n">
        <v>9</v>
      </c>
      <c r="D97" s="30" t="n">
        <f aca="false">IFERROR(B97/C97,0)</f>
        <v>0</v>
      </c>
      <c r="E97" s="23" t="n">
        <v>17.78</v>
      </c>
    </row>
    <row r="98" customFormat="false" ht="15" hidden="false" customHeight="false" outlineLevel="0" collapsed="false">
      <c r="A98" s="26" t="s">
        <v>1310</v>
      </c>
      <c r="B98" s="26" t="n">
        <v>0</v>
      </c>
      <c r="C98" s="26" t="n">
        <v>8</v>
      </c>
      <c r="D98" s="35" t="n">
        <f aca="false">IFERROR(B98/C98,0)</f>
        <v>0</v>
      </c>
      <c r="E98" s="26" t="n">
        <v>5.88</v>
      </c>
    </row>
    <row r="99" customFormat="false" ht="15" hidden="false" customHeight="false" outlineLevel="0" collapsed="false">
      <c r="A99" s="23" t="s">
        <v>1311</v>
      </c>
      <c r="B99" s="23" t="n">
        <v>0</v>
      </c>
      <c r="C99" s="23" t="n">
        <v>8</v>
      </c>
      <c r="D99" s="30" t="n">
        <f aca="false">IFERROR(B99/C99,0)</f>
        <v>0</v>
      </c>
      <c r="E99" s="23" t="n">
        <v>9</v>
      </c>
    </row>
    <row r="100" customFormat="false" ht="15" hidden="false" customHeight="false" outlineLevel="0" collapsed="false">
      <c r="A100" s="26" t="s">
        <v>1312</v>
      </c>
      <c r="B100" s="26" t="n">
        <v>0</v>
      </c>
      <c r="C100" s="26" t="n">
        <v>7</v>
      </c>
      <c r="D100" s="35" t="n">
        <f aca="false">IFERROR(B100/C100,0)</f>
        <v>0</v>
      </c>
      <c r="E100" s="26" t="n">
        <v>4.29</v>
      </c>
    </row>
    <row r="101" customFormat="false" ht="15" hidden="false" customHeight="false" outlineLevel="0" collapsed="false">
      <c r="A101" s="23" t="s">
        <v>1313</v>
      </c>
      <c r="B101" s="23" t="n">
        <v>0</v>
      </c>
      <c r="C101" s="23" t="n">
        <v>7</v>
      </c>
      <c r="D101" s="30" t="n">
        <f aca="false">IFERROR(B101/C101,0)</f>
        <v>0</v>
      </c>
      <c r="E101" s="23" t="n">
        <v>5.86</v>
      </c>
    </row>
    <row r="102" customFormat="false" ht="15" hidden="false" customHeight="false" outlineLevel="0" collapsed="false">
      <c r="A102" s="26" t="s">
        <v>1314</v>
      </c>
      <c r="B102" s="26" t="n">
        <v>0</v>
      </c>
      <c r="C102" s="26" t="n">
        <v>7</v>
      </c>
      <c r="D102" s="35" t="n">
        <f aca="false">IFERROR(B102/C102,0)</f>
        <v>0</v>
      </c>
      <c r="E102" s="26" t="n">
        <v>6.14</v>
      </c>
    </row>
    <row r="103" customFormat="false" ht="15" hidden="false" customHeight="false" outlineLevel="0" collapsed="false">
      <c r="A103" s="23" t="s">
        <v>1315</v>
      </c>
      <c r="B103" s="23" t="n">
        <v>0</v>
      </c>
      <c r="C103" s="23" t="n">
        <v>7</v>
      </c>
      <c r="D103" s="30" t="n">
        <f aca="false">IFERROR(B103/C103,0)</f>
        <v>0</v>
      </c>
      <c r="E103" s="23" t="n">
        <v>7.29</v>
      </c>
    </row>
    <row r="104" customFormat="false" ht="15" hidden="false" customHeight="false" outlineLevel="0" collapsed="false">
      <c r="A104" s="26" t="s">
        <v>1316</v>
      </c>
      <c r="B104" s="26" t="n">
        <v>0</v>
      </c>
      <c r="C104" s="26" t="n">
        <v>7</v>
      </c>
      <c r="D104" s="35" t="n">
        <f aca="false">IFERROR(B104/C104,0)</f>
        <v>0</v>
      </c>
      <c r="E104" s="26" t="n">
        <v>7.71</v>
      </c>
    </row>
    <row r="105" customFormat="false" ht="15" hidden="false" customHeight="false" outlineLevel="0" collapsed="false">
      <c r="A105" s="23" t="s">
        <v>1317</v>
      </c>
      <c r="B105" s="23" t="n">
        <v>0</v>
      </c>
      <c r="C105" s="23" t="n">
        <v>7</v>
      </c>
      <c r="D105" s="30" t="n">
        <f aca="false">IFERROR(B105/C105,0)</f>
        <v>0</v>
      </c>
      <c r="E105" s="23" t="n">
        <v>8.86</v>
      </c>
    </row>
    <row r="106" customFormat="false" ht="15" hidden="false" customHeight="false" outlineLevel="0" collapsed="false">
      <c r="A106" s="26" t="s">
        <v>1318</v>
      </c>
      <c r="B106" s="26" t="n">
        <v>0</v>
      </c>
      <c r="C106" s="26" t="n">
        <v>7</v>
      </c>
      <c r="D106" s="35" t="n">
        <f aca="false">IFERROR(B106/C106,0)</f>
        <v>0</v>
      </c>
      <c r="E106" s="26" t="n">
        <v>9.14</v>
      </c>
    </row>
    <row r="107" customFormat="false" ht="15" hidden="false" customHeight="false" outlineLevel="0" collapsed="false">
      <c r="A107" s="23" t="s">
        <v>1319</v>
      </c>
      <c r="B107" s="23" t="n">
        <v>0</v>
      </c>
      <c r="C107" s="23" t="n">
        <v>7</v>
      </c>
      <c r="D107" s="30" t="n">
        <f aca="false">IFERROR(B107/C107,0)</f>
        <v>0</v>
      </c>
      <c r="E107" s="23" t="n">
        <v>10.57</v>
      </c>
    </row>
    <row r="108" customFormat="false" ht="15" hidden="false" customHeight="false" outlineLevel="0" collapsed="false">
      <c r="A108" s="26" t="s">
        <v>1320</v>
      </c>
      <c r="B108" s="26" t="n">
        <v>0</v>
      </c>
      <c r="C108" s="26" t="n">
        <v>6</v>
      </c>
      <c r="D108" s="35" t="n">
        <f aca="false">IFERROR(B108/C108,0)</f>
        <v>0</v>
      </c>
      <c r="E108" s="26" t="n">
        <v>3.33</v>
      </c>
    </row>
    <row r="109" customFormat="false" ht="15" hidden="false" customHeight="false" outlineLevel="0" collapsed="false">
      <c r="A109" s="23" t="s">
        <v>1321</v>
      </c>
      <c r="B109" s="23" t="n">
        <v>0</v>
      </c>
      <c r="C109" s="23" t="n">
        <v>6</v>
      </c>
      <c r="D109" s="30" t="n">
        <f aca="false">IFERROR(B109/C109,0)</f>
        <v>0</v>
      </c>
      <c r="E109" s="23" t="n">
        <v>6.33</v>
      </c>
    </row>
    <row r="110" customFormat="false" ht="15" hidden="false" customHeight="false" outlineLevel="0" collapsed="false">
      <c r="A110" s="26" t="s">
        <v>1322</v>
      </c>
      <c r="B110" s="26" t="n">
        <v>0</v>
      </c>
      <c r="C110" s="26" t="n">
        <v>6</v>
      </c>
      <c r="D110" s="35" t="n">
        <f aca="false">IFERROR(B110/C110,0)</f>
        <v>0</v>
      </c>
      <c r="E110" s="26" t="n">
        <v>7.67</v>
      </c>
    </row>
    <row r="111" customFormat="false" ht="15" hidden="false" customHeight="false" outlineLevel="0" collapsed="false">
      <c r="A111" s="23" t="s">
        <v>1323</v>
      </c>
      <c r="B111" s="23" t="n">
        <v>0</v>
      </c>
      <c r="C111" s="23" t="n">
        <v>6</v>
      </c>
      <c r="D111" s="30" t="n">
        <f aca="false">IFERROR(B111/C111,0)</f>
        <v>0</v>
      </c>
      <c r="E111" s="23" t="n">
        <v>7.83</v>
      </c>
    </row>
    <row r="112" customFormat="false" ht="15" hidden="false" customHeight="false" outlineLevel="0" collapsed="false">
      <c r="A112" s="26" t="s">
        <v>1324</v>
      </c>
      <c r="B112" s="26" t="n">
        <v>0</v>
      </c>
      <c r="C112" s="26" t="n">
        <v>5</v>
      </c>
      <c r="D112" s="35" t="n">
        <f aca="false">IFERROR(B112/C112,0)</f>
        <v>0</v>
      </c>
      <c r="E112" s="26" t="n">
        <v>5.6</v>
      </c>
    </row>
    <row r="113" customFormat="false" ht="15" hidden="false" customHeight="false" outlineLevel="0" collapsed="false">
      <c r="A113" s="23" t="s">
        <v>1325</v>
      </c>
      <c r="B113" s="23" t="n">
        <v>0</v>
      </c>
      <c r="C113" s="23" t="n">
        <v>5</v>
      </c>
      <c r="D113" s="30" t="n">
        <f aca="false">IFERROR(B113/C113,0)</f>
        <v>0</v>
      </c>
      <c r="E113" s="23" t="n">
        <v>6</v>
      </c>
    </row>
    <row r="114" customFormat="false" ht="15" hidden="false" customHeight="false" outlineLevel="0" collapsed="false">
      <c r="A114" s="26" t="s">
        <v>1326</v>
      </c>
      <c r="B114" s="26" t="n">
        <v>0</v>
      </c>
      <c r="C114" s="26" t="n">
        <v>5</v>
      </c>
      <c r="D114" s="35" t="n">
        <f aca="false">IFERROR(B114/C114,0)</f>
        <v>0</v>
      </c>
      <c r="E114" s="26" t="n">
        <v>18</v>
      </c>
    </row>
    <row r="115" customFormat="false" ht="15" hidden="false" customHeight="false" outlineLevel="0" collapsed="false">
      <c r="A115" s="23" t="s">
        <v>1327</v>
      </c>
      <c r="B115" s="23" t="n">
        <v>0</v>
      </c>
      <c r="C115" s="23" t="n">
        <v>4</v>
      </c>
      <c r="D115" s="30" t="n">
        <f aca="false">IFERROR(B115/C115,0)</f>
        <v>0</v>
      </c>
      <c r="E115" s="23" t="n">
        <v>6.75</v>
      </c>
    </row>
    <row r="116" customFormat="false" ht="15" hidden="false" customHeight="false" outlineLevel="0" collapsed="false">
      <c r="A116" s="26" t="s">
        <v>1328</v>
      </c>
      <c r="B116" s="26" t="n">
        <v>0</v>
      </c>
      <c r="C116" s="26" t="n">
        <v>4</v>
      </c>
      <c r="D116" s="35" t="n">
        <f aca="false">IFERROR(B116/C116,0)</f>
        <v>0</v>
      </c>
      <c r="E116" s="26" t="n">
        <v>7.25</v>
      </c>
    </row>
    <row r="117" customFormat="false" ht="15" hidden="false" customHeight="false" outlineLevel="0" collapsed="false">
      <c r="A117" s="23" t="s">
        <v>1329</v>
      </c>
      <c r="B117" s="23" t="n">
        <v>0</v>
      </c>
      <c r="C117" s="23" t="n">
        <v>4</v>
      </c>
      <c r="D117" s="30" t="n">
        <f aca="false">IFERROR(B117/C117,0)</f>
        <v>0</v>
      </c>
      <c r="E117" s="23" t="n">
        <v>7.5</v>
      </c>
    </row>
    <row r="118" customFormat="false" ht="15" hidden="false" customHeight="false" outlineLevel="0" collapsed="false">
      <c r="A118" s="26" t="s">
        <v>1330</v>
      </c>
      <c r="B118" s="26" t="n">
        <v>0</v>
      </c>
      <c r="C118" s="26" t="n">
        <v>3</v>
      </c>
      <c r="D118" s="35" t="n">
        <f aca="false">IFERROR(B118/C118,0)</f>
        <v>0</v>
      </c>
      <c r="E118" s="26" t="n">
        <v>3</v>
      </c>
    </row>
    <row r="119" customFormat="false" ht="15" hidden="false" customHeight="false" outlineLevel="0" collapsed="false">
      <c r="A119" s="23" t="s">
        <v>1331</v>
      </c>
      <c r="B119" s="23" t="n">
        <v>0</v>
      </c>
      <c r="C119" s="23" t="n">
        <v>3</v>
      </c>
      <c r="D119" s="30" t="n">
        <f aca="false">IFERROR(B119/C119,0)</f>
        <v>0</v>
      </c>
      <c r="E119" s="23" t="n">
        <v>6.33</v>
      </c>
    </row>
    <row r="120" customFormat="false" ht="15" hidden="false" customHeight="false" outlineLevel="0" collapsed="false">
      <c r="A120" s="26" t="s">
        <v>1332</v>
      </c>
      <c r="B120" s="26" t="n">
        <v>0</v>
      </c>
      <c r="C120" s="26" t="n">
        <v>3</v>
      </c>
      <c r="D120" s="35" t="n">
        <f aca="false">IFERROR(B120/C120,0)</f>
        <v>0</v>
      </c>
      <c r="E120" s="26" t="n">
        <v>8.33</v>
      </c>
    </row>
    <row r="121" customFormat="false" ht="15" hidden="false" customHeight="false" outlineLevel="0" collapsed="false">
      <c r="A121" s="23" t="s">
        <v>1333</v>
      </c>
      <c r="B121" s="23" t="n">
        <v>0</v>
      </c>
      <c r="C121" s="23" t="n">
        <v>3</v>
      </c>
      <c r="D121" s="30" t="n">
        <f aca="false">IFERROR(B121/C121,0)</f>
        <v>0</v>
      </c>
      <c r="E121" s="23" t="n">
        <v>8.67</v>
      </c>
    </row>
    <row r="122" customFormat="false" ht="15" hidden="false" customHeight="false" outlineLevel="0" collapsed="false">
      <c r="A122" s="26" t="s">
        <v>1334</v>
      </c>
      <c r="B122" s="26" t="n">
        <v>0</v>
      </c>
      <c r="C122" s="26" t="n">
        <v>3</v>
      </c>
      <c r="D122" s="35" t="n">
        <f aca="false">IFERROR(B122/C122,0)</f>
        <v>0</v>
      </c>
      <c r="E122" s="26" t="n">
        <v>11</v>
      </c>
    </row>
    <row r="123" customFormat="false" ht="15" hidden="false" customHeight="false" outlineLevel="0" collapsed="false">
      <c r="A123" s="23" t="s">
        <v>1335</v>
      </c>
      <c r="B123" s="23" t="n">
        <v>0</v>
      </c>
      <c r="C123" s="23" t="n">
        <v>3</v>
      </c>
      <c r="D123" s="30" t="n">
        <f aca="false">IFERROR(B123/C123,0)</f>
        <v>0</v>
      </c>
      <c r="E123" s="23" t="n">
        <v>16</v>
      </c>
    </row>
    <row r="124" customFormat="false" ht="15" hidden="false" customHeight="false" outlineLevel="0" collapsed="false">
      <c r="A124" s="26" t="s">
        <v>1336</v>
      </c>
      <c r="B124" s="26" t="n">
        <v>0</v>
      </c>
      <c r="C124" s="26" t="n">
        <v>3</v>
      </c>
      <c r="D124" s="35" t="n">
        <f aca="false">IFERROR(B124/C124,0)</f>
        <v>0</v>
      </c>
      <c r="E124" s="26" t="n">
        <v>18.33</v>
      </c>
    </row>
    <row r="125" customFormat="false" ht="15" hidden="false" customHeight="false" outlineLevel="0" collapsed="false">
      <c r="A125" s="23" t="s">
        <v>1337</v>
      </c>
      <c r="B125" s="23" t="n">
        <v>0</v>
      </c>
      <c r="C125" s="23" t="n">
        <v>2</v>
      </c>
      <c r="D125" s="30" t="n">
        <f aca="false">IFERROR(B125/C125,0)</f>
        <v>0</v>
      </c>
      <c r="E125" s="23" t="n">
        <v>1</v>
      </c>
    </row>
    <row r="126" customFormat="false" ht="15" hidden="false" customHeight="false" outlineLevel="0" collapsed="false">
      <c r="A126" s="26" t="s">
        <v>1338</v>
      </c>
      <c r="B126" s="26" t="n">
        <v>0</v>
      </c>
      <c r="C126" s="26" t="n">
        <v>2</v>
      </c>
      <c r="D126" s="35" t="n">
        <f aca="false">IFERROR(B126/C126,0)</f>
        <v>0</v>
      </c>
      <c r="E126" s="26" t="n">
        <v>1</v>
      </c>
    </row>
    <row r="127" customFormat="false" ht="15" hidden="false" customHeight="false" outlineLevel="0" collapsed="false">
      <c r="A127" s="23" t="s">
        <v>1339</v>
      </c>
      <c r="B127" s="23" t="n">
        <v>0</v>
      </c>
      <c r="C127" s="23" t="n">
        <v>2</v>
      </c>
      <c r="D127" s="30" t="n">
        <f aca="false">IFERROR(B127/C127,0)</f>
        <v>0</v>
      </c>
      <c r="E127" s="23" t="n">
        <v>3.5</v>
      </c>
    </row>
    <row r="128" customFormat="false" ht="15" hidden="false" customHeight="false" outlineLevel="0" collapsed="false">
      <c r="A128" s="26" t="s">
        <v>1340</v>
      </c>
      <c r="B128" s="26" t="n">
        <v>0</v>
      </c>
      <c r="C128" s="26" t="n">
        <v>2</v>
      </c>
      <c r="D128" s="35" t="n">
        <f aca="false">IFERROR(B128/C128,0)</f>
        <v>0</v>
      </c>
      <c r="E128" s="26" t="n">
        <v>3.5</v>
      </c>
    </row>
    <row r="129" customFormat="false" ht="15" hidden="false" customHeight="false" outlineLevel="0" collapsed="false">
      <c r="A129" s="23" t="s">
        <v>1341</v>
      </c>
      <c r="B129" s="23" t="n">
        <v>0</v>
      </c>
      <c r="C129" s="23" t="n">
        <v>2</v>
      </c>
      <c r="D129" s="30" t="n">
        <f aca="false">IFERROR(B129/C129,0)</f>
        <v>0</v>
      </c>
      <c r="E129" s="23" t="n">
        <v>3.5</v>
      </c>
    </row>
    <row r="130" customFormat="false" ht="15" hidden="false" customHeight="false" outlineLevel="0" collapsed="false">
      <c r="A130" s="26" t="s">
        <v>1342</v>
      </c>
      <c r="B130" s="26" t="n">
        <v>0</v>
      </c>
      <c r="C130" s="26" t="n">
        <v>2</v>
      </c>
      <c r="D130" s="35" t="n">
        <f aca="false">IFERROR(B130/C130,0)</f>
        <v>0</v>
      </c>
      <c r="E130" s="26" t="n">
        <v>4</v>
      </c>
    </row>
    <row r="131" customFormat="false" ht="15" hidden="false" customHeight="false" outlineLevel="0" collapsed="false">
      <c r="A131" s="23" t="s">
        <v>1343</v>
      </c>
      <c r="B131" s="23" t="n">
        <v>0</v>
      </c>
      <c r="C131" s="23" t="n">
        <v>2</v>
      </c>
      <c r="D131" s="30" t="n">
        <f aca="false">IFERROR(B131/C131,0)</f>
        <v>0</v>
      </c>
      <c r="E131" s="23" t="n">
        <v>4.5</v>
      </c>
    </row>
    <row r="132" customFormat="false" ht="15" hidden="false" customHeight="false" outlineLevel="0" collapsed="false">
      <c r="A132" s="26" t="s">
        <v>1344</v>
      </c>
      <c r="B132" s="26" t="n">
        <v>0</v>
      </c>
      <c r="C132" s="26" t="n">
        <v>2</v>
      </c>
      <c r="D132" s="35" t="n">
        <f aca="false">IFERROR(B132/C132,0)</f>
        <v>0</v>
      </c>
      <c r="E132" s="26" t="n">
        <v>5</v>
      </c>
    </row>
    <row r="133" customFormat="false" ht="15" hidden="false" customHeight="false" outlineLevel="0" collapsed="false">
      <c r="A133" s="23" t="s">
        <v>1345</v>
      </c>
      <c r="B133" s="23" t="n">
        <v>0</v>
      </c>
      <c r="C133" s="23" t="n">
        <v>2</v>
      </c>
      <c r="D133" s="30" t="n">
        <f aca="false">IFERROR(B133/C133,0)</f>
        <v>0</v>
      </c>
      <c r="E133" s="23" t="n">
        <v>5.5</v>
      </c>
    </row>
    <row r="134" customFormat="false" ht="15" hidden="false" customHeight="false" outlineLevel="0" collapsed="false">
      <c r="A134" s="26" t="s">
        <v>1346</v>
      </c>
      <c r="B134" s="26" t="n">
        <v>0</v>
      </c>
      <c r="C134" s="26" t="n">
        <v>2</v>
      </c>
      <c r="D134" s="35" t="n">
        <f aca="false">IFERROR(B134/C134,0)</f>
        <v>0</v>
      </c>
      <c r="E134" s="26" t="n">
        <v>7</v>
      </c>
    </row>
    <row r="135" customFormat="false" ht="15" hidden="false" customHeight="false" outlineLevel="0" collapsed="false">
      <c r="A135" s="23" t="s">
        <v>1347</v>
      </c>
      <c r="B135" s="23" t="n">
        <v>0</v>
      </c>
      <c r="C135" s="23" t="n">
        <v>2</v>
      </c>
      <c r="D135" s="30" t="n">
        <f aca="false">IFERROR(B135/C135,0)</f>
        <v>0</v>
      </c>
      <c r="E135" s="23" t="n">
        <v>8</v>
      </c>
    </row>
    <row r="136" customFormat="false" ht="15" hidden="false" customHeight="false" outlineLevel="0" collapsed="false">
      <c r="A136" s="26" t="s">
        <v>1348</v>
      </c>
      <c r="B136" s="26" t="n">
        <v>0</v>
      </c>
      <c r="C136" s="26" t="n">
        <v>2</v>
      </c>
      <c r="D136" s="35" t="n">
        <f aca="false">IFERROR(B136/C136,0)</f>
        <v>0</v>
      </c>
      <c r="E136" s="26" t="n">
        <v>8.5</v>
      </c>
    </row>
    <row r="137" customFormat="false" ht="15" hidden="false" customHeight="false" outlineLevel="0" collapsed="false">
      <c r="A137" s="23" t="s">
        <v>1349</v>
      </c>
      <c r="B137" s="23" t="n">
        <v>0</v>
      </c>
      <c r="C137" s="23" t="n">
        <v>2</v>
      </c>
      <c r="D137" s="30" t="n">
        <f aca="false">IFERROR(B137/C137,0)</f>
        <v>0</v>
      </c>
      <c r="E137" s="23" t="n">
        <v>9.5</v>
      </c>
    </row>
    <row r="138" customFormat="false" ht="15" hidden="false" customHeight="false" outlineLevel="0" collapsed="false">
      <c r="A138" s="26" t="s">
        <v>1350</v>
      </c>
      <c r="B138" s="26" t="n">
        <v>0</v>
      </c>
      <c r="C138" s="26" t="n">
        <v>2</v>
      </c>
      <c r="D138" s="35" t="n">
        <f aca="false">IFERROR(B138/C138,0)</f>
        <v>0</v>
      </c>
      <c r="E138" s="26" t="n">
        <v>10</v>
      </c>
    </row>
    <row r="139" customFormat="false" ht="15" hidden="false" customHeight="false" outlineLevel="0" collapsed="false">
      <c r="A139" s="23" t="s">
        <v>1351</v>
      </c>
      <c r="B139" s="23" t="n">
        <v>0</v>
      </c>
      <c r="C139" s="23" t="n">
        <v>2</v>
      </c>
      <c r="D139" s="30" t="n">
        <f aca="false">IFERROR(B139/C139,0)</f>
        <v>0</v>
      </c>
      <c r="E139" s="23" t="n">
        <v>10.5</v>
      </c>
    </row>
    <row r="140" customFormat="false" ht="15" hidden="false" customHeight="false" outlineLevel="0" collapsed="false">
      <c r="A140" s="26" t="s">
        <v>1352</v>
      </c>
      <c r="B140" s="26" t="n">
        <v>0</v>
      </c>
      <c r="C140" s="26" t="n">
        <v>2</v>
      </c>
      <c r="D140" s="35" t="n">
        <f aca="false">IFERROR(B140/C140,0)</f>
        <v>0</v>
      </c>
      <c r="E140" s="26" t="n">
        <v>31.5</v>
      </c>
    </row>
    <row r="141" customFormat="false" ht="15" hidden="false" customHeight="false" outlineLevel="0" collapsed="false">
      <c r="A141" s="23" t="s">
        <v>1353</v>
      </c>
      <c r="B141" s="23" t="n">
        <v>0</v>
      </c>
      <c r="C141" s="23" t="n">
        <v>1</v>
      </c>
      <c r="D141" s="30" t="n">
        <f aca="false">IFERROR(B141/C141,0)</f>
        <v>0</v>
      </c>
      <c r="E141" s="23" t="n">
        <v>1</v>
      </c>
    </row>
    <row r="142" customFormat="false" ht="15" hidden="false" customHeight="false" outlineLevel="0" collapsed="false">
      <c r="A142" s="26" t="s">
        <v>1354</v>
      </c>
      <c r="B142" s="26" t="n">
        <v>0</v>
      </c>
      <c r="C142" s="26" t="n">
        <v>1</v>
      </c>
      <c r="D142" s="35" t="n">
        <f aca="false">IFERROR(B142/C142,0)</f>
        <v>0</v>
      </c>
      <c r="E142" s="26" t="n">
        <v>1</v>
      </c>
    </row>
    <row r="143" customFormat="false" ht="15" hidden="false" customHeight="false" outlineLevel="0" collapsed="false">
      <c r="A143" s="23" t="s">
        <v>1355</v>
      </c>
      <c r="B143" s="23" t="n">
        <v>0</v>
      </c>
      <c r="C143" s="23" t="n">
        <v>1</v>
      </c>
      <c r="D143" s="30" t="n">
        <f aca="false">IFERROR(B143/C143,0)</f>
        <v>0</v>
      </c>
      <c r="E143" s="23" t="n">
        <v>2</v>
      </c>
    </row>
    <row r="144" customFormat="false" ht="15" hidden="false" customHeight="false" outlineLevel="0" collapsed="false">
      <c r="A144" s="26" t="s">
        <v>1356</v>
      </c>
      <c r="B144" s="26" t="n">
        <v>0</v>
      </c>
      <c r="C144" s="26" t="n">
        <v>1</v>
      </c>
      <c r="D144" s="35" t="n">
        <f aca="false">IFERROR(B144/C144,0)</f>
        <v>0</v>
      </c>
      <c r="E144" s="26" t="n">
        <v>3</v>
      </c>
    </row>
    <row r="145" customFormat="false" ht="15" hidden="false" customHeight="false" outlineLevel="0" collapsed="false">
      <c r="A145" s="23" t="s">
        <v>1357</v>
      </c>
      <c r="B145" s="23" t="n">
        <v>0</v>
      </c>
      <c r="C145" s="23" t="n">
        <v>1</v>
      </c>
      <c r="D145" s="30" t="n">
        <f aca="false">IFERROR(B145/C145,0)</f>
        <v>0</v>
      </c>
      <c r="E145" s="23" t="n">
        <v>3</v>
      </c>
    </row>
    <row r="146" customFormat="false" ht="15" hidden="false" customHeight="false" outlineLevel="0" collapsed="false">
      <c r="A146" s="26" t="s">
        <v>1358</v>
      </c>
      <c r="B146" s="26" t="n">
        <v>0</v>
      </c>
      <c r="C146" s="26" t="n">
        <v>1</v>
      </c>
      <c r="D146" s="35" t="n">
        <f aca="false">IFERROR(B146/C146,0)</f>
        <v>0</v>
      </c>
      <c r="E146" s="26" t="n">
        <v>4</v>
      </c>
    </row>
    <row r="147" customFormat="false" ht="15" hidden="false" customHeight="false" outlineLevel="0" collapsed="false">
      <c r="A147" s="23" t="s">
        <v>1359</v>
      </c>
      <c r="B147" s="23" t="n">
        <v>0</v>
      </c>
      <c r="C147" s="23" t="n">
        <v>1</v>
      </c>
      <c r="D147" s="30" t="n">
        <f aca="false">IFERROR(B147/C147,0)</f>
        <v>0</v>
      </c>
      <c r="E147" s="23" t="n">
        <v>4</v>
      </c>
    </row>
    <row r="148" customFormat="false" ht="15" hidden="false" customHeight="false" outlineLevel="0" collapsed="false">
      <c r="A148" s="26" t="s">
        <v>1360</v>
      </c>
      <c r="B148" s="26" t="n">
        <v>0</v>
      </c>
      <c r="C148" s="26" t="n">
        <v>1</v>
      </c>
      <c r="D148" s="35" t="n">
        <f aca="false">IFERROR(B148/C148,0)</f>
        <v>0</v>
      </c>
      <c r="E148" s="26" t="n">
        <v>5</v>
      </c>
    </row>
    <row r="149" customFormat="false" ht="15" hidden="false" customHeight="false" outlineLevel="0" collapsed="false">
      <c r="A149" s="23" t="s">
        <v>1361</v>
      </c>
      <c r="B149" s="23" t="n">
        <v>0</v>
      </c>
      <c r="C149" s="23" t="n">
        <v>1</v>
      </c>
      <c r="D149" s="30" t="n">
        <f aca="false">IFERROR(B149/C149,0)</f>
        <v>0</v>
      </c>
      <c r="E149" s="23" t="n">
        <v>5</v>
      </c>
    </row>
    <row r="150" customFormat="false" ht="15" hidden="false" customHeight="false" outlineLevel="0" collapsed="false">
      <c r="A150" s="26" t="s">
        <v>1362</v>
      </c>
      <c r="B150" s="26" t="n">
        <v>0</v>
      </c>
      <c r="C150" s="26" t="n">
        <v>1</v>
      </c>
      <c r="D150" s="35" t="n">
        <f aca="false">IFERROR(B150/C150,0)</f>
        <v>0</v>
      </c>
      <c r="E150" s="26" t="n">
        <v>6</v>
      </c>
    </row>
    <row r="151" customFormat="false" ht="15" hidden="false" customHeight="false" outlineLevel="0" collapsed="false">
      <c r="A151" s="23" t="s">
        <v>1363</v>
      </c>
      <c r="B151" s="23" t="n">
        <v>0</v>
      </c>
      <c r="C151" s="23" t="n">
        <v>1</v>
      </c>
      <c r="D151" s="30" t="n">
        <f aca="false">IFERROR(B151/C151,0)</f>
        <v>0</v>
      </c>
      <c r="E151" s="23" t="n">
        <v>7</v>
      </c>
    </row>
    <row r="152" customFormat="false" ht="15" hidden="false" customHeight="false" outlineLevel="0" collapsed="false">
      <c r="A152" s="26" t="s">
        <v>1364</v>
      </c>
      <c r="B152" s="26" t="n">
        <v>0</v>
      </c>
      <c r="C152" s="26" t="n">
        <v>1</v>
      </c>
      <c r="D152" s="35" t="n">
        <f aca="false">IFERROR(B152/C152,0)</f>
        <v>0</v>
      </c>
      <c r="E152" s="26" t="n">
        <v>9</v>
      </c>
    </row>
    <row r="153" customFormat="false" ht="15" hidden="false" customHeight="false" outlineLevel="0" collapsed="false">
      <c r="A153" s="23" t="s">
        <v>1365</v>
      </c>
      <c r="B153" s="23" t="n">
        <v>0</v>
      </c>
      <c r="C153" s="23" t="n">
        <v>1</v>
      </c>
      <c r="D153" s="30" t="n">
        <f aca="false">IFERROR(B153/C153,0)</f>
        <v>0</v>
      </c>
      <c r="E153" s="23" t="n">
        <v>9</v>
      </c>
    </row>
    <row r="154" customFormat="false" ht="15" hidden="false" customHeight="false" outlineLevel="0" collapsed="false">
      <c r="A154" s="26" t="s">
        <v>1366</v>
      </c>
      <c r="B154" s="26" t="n">
        <v>0</v>
      </c>
      <c r="C154" s="26" t="n">
        <v>1</v>
      </c>
      <c r="D154" s="35" t="n">
        <f aca="false">IFERROR(B154/C154,0)</f>
        <v>0</v>
      </c>
      <c r="E154" s="26" t="n">
        <v>9</v>
      </c>
    </row>
    <row r="155" customFormat="false" ht="15" hidden="false" customHeight="false" outlineLevel="0" collapsed="false">
      <c r="A155" s="23" t="s">
        <v>1367</v>
      </c>
      <c r="B155" s="23" t="n">
        <v>0</v>
      </c>
      <c r="C155" s="23" t="n">
        <v>1</v>
      </c>
      <c r="D155" s="30" t="n">
        <f aca="false">IFERROR(B155/C155,0)</f>
        <v>0</v>
      </c>
      <c r="E155" s="23" t="n">
        <v>10</v>
      </c>
    </row>
    <row r="156" customFormat="false" ht="15" hidden="false" customHeight="false" outlineLevel="0" collapsed="false">
      <c r="A156" s="26" t="s">
        <v>1368</v>
      </c>
      <c r="B156" s="26" t="n">
        <v>0</v>
      </c>
      <c r="C156" s="26" t="n">
        <v>1</v>
      </c>
      <c r="D156" s="35" t="n">
        <f aca="false">IFERROR(B156/C156,0)</f>
        <v>0</v>
      </c>
      <c r="E156" s="26" t="n">
        <v>10</v>
      </c>
    </row>
    <row r="157" customFormat="false" ht="15" hidden="false" customHeight="false" outlineLevel="0" collapsed="false">
      <c r="A157" s="23" t="s">
        <v>1369</v>
      </c>
      <c r="B157" s="23" t="n">
        <v>0</v>
      </c>
      <c r="C157" s="23" t="n">
        <v>1</v>
      </c>
      <c r="D157" s="30" t="n">
        <f aca="false">IFERROR(B157/C157,0)</f>
        <v>0</v>
      </c>
      <c r="E157" s="23" t="n">
        <v>10</v>
      </c>
    </row>
    <row r="158" customFormat="false" ht="15" hidden="false" customHeight="false" outlineLevel="0" collapsed="false">
      <c r="A158" s="26" t="s">
        <v>1370</v>
      </c>
      <c r="B158" s="26" t="n">
        <v>0</v>
      </c>
      <c r="C158" s="26" t="n">
        <v>1</v>
      </c>
      <c r="D158" s="35" t="n">
        <f aca="false">IFERROR(B158/C158,0)</f>
        <v>0</v>
      </c>
      <c r="E158" s="26" t="n">
        <v>17</v>
      </c>
    </row>
    <row r="159" customFormat="false" ht="15" hidden="false" customHeight="false" outlineLevel="0" collapsed="false">
      <c r="A159" s="23" t="s">
        <v>1371</v>
      </c>
      <c r="B159" s="23" t="n">
        <v>0</v>
      </c>
      <c r="C159" s="23" t="n">
        <v>1</v>
      </c>
      <c r="D159" s="30" t="n">
        <f aca="false">IFERROR(B159/C159,0)</f>
        <v>0</v>
      </c>
      <c r="E159" s="23" t="n">
        <v>18</v>
      </c>
    </row>
    <row r="160" customFormat="false" ht="15" hidden="false" customHeight="false" outlineLevel="0" collapsed="false">
      <c r="A160" s="26" t="s">
        <v>1372</v>
      </c>
      <c r="B160" s="26" t="n">
        <v>0</v>
      </c>
      <c r="C160" s="26" t="n">
        <v>1</v>
      </c>
      <c r="D160" s="35" t="n">
        <f aca="false">IFERROR(B160/C160,0)</f>
        <v>0</v>
      </c>
      <c r="E160" s="26" t="n">
        <v>26</v>
      </c>
    </row>
    <row r="161" customFormat="false" ht="15" hidden="false" customHeight="false" outlineLevel="0" collapsed="false">
      <c r="A161" s="23" t="s">
        <v>1373</v>
      </c>
      <c r="B161" s="23" t="n">
        <v>0</v>
      </c>
      <c r="C161" s="23" t="n">
        <v>1</v>
      </c>
      <c r="D161" s="30" t="n">
        <f aca="false">IFERROR(B161/C161,0)</f>
        <v>0</v>
      </c>
      <c r="E161" s="23" t="n">
        <v>38</v>
      </c>
    </row>
    <row r="162" customFormat="false" ht="15" hidden="false" customHeight="false" outlineLevel="0" collapsed="false">
      <c r="A162" s="26" t="s">
        <v>1374</v>
      </c>
      <c r="B162" s="26" t="n">
        <v>0</v>
      </c>
      <c r="C162" s="26" t="n">
        <v>1</v>
      </c>
      <c r="D162" s="35" t="n">
        <f aca="false">IFERROR(B162/C162,0)</f>
        <v>0</v>
      </c>
      <c r="E162" s="26" t="n">
        <v>39</v>
      </c>
    </row>
    <row r="163" customFormat="false" ht="15" hidden="false" customHeight="false" outlineLevel="0" collapsed="false">
      <c r="A163" s="23" t="s">
        <v>1375</v>
      </c>
      <c r="B163" s="23" t="n">
        <v>0</v>
      </c>
      <c r="C163" s="23" t="n">
        <v>1</v>
      </c>
      <c r="D163" s="30" t="n">
        <f aca="false">IFERROR(B163/C163,0)</f>
        <v>0</v>
      </c>
      <c r="E163" s="23" t="n">
        <v>41</v>
      </c>
    </row>
  </sheetData>
  <autoFilter ref="A4:E16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0"/>
  </cols>
  <sheetData>
    <row r="1" customFormat="false" ht="19.7" hidden="false" customHeight="false" outlineLevel="0" collapsed="false">
      <c r="A1" s="1" t="s">
        <v>1376</v>
      </c>
    </row>
    <row r="4" customFormat="false" ht="30" hidden="false" customHeight="true" outlineLevel="0" collapsed="false">
      <c r="A4" s="25" t="s">
        <v>1377</v>
      </c>
      <c r="B4" s="25" t="s">
        <v>1378</v>
      </c>
    </row>
    <row r="5" customFormat="false" ht="45" hidden="false" customHeight="true" outlineLevel="0" collapsed="false">
      <c r="A5" s="23" t="s">
        <v>1379</v>
      </c>
      <c r="B5" s="23" t="s">
        <v>1380</v>
      </c>
    </row>
    <row r="6" customFormat="false" ht="45" hidden="false" customHeight="true" outlineLevel="0" collapsed="false">
      <c r="A6" s="26" t="s">
        <v>1381</v>
      </c>
      <c r="B6" s="26" t="s">
        <v>1382</v>
      </c>
    </row>
    <row r="7" customFormat="false" ht="45" hidden="false" customHeight="true" outlineLevel="0" collapsed="false">
      <c r="A7" s="23" t="s">
        <v>1383</v>
      </c>
      <c r="B7" s="23" t="s">
        <v>1384</v>
      </c>
    </row>
    <row r="8" customFormat="false" ht="45" hidden="false" customHeight="true" outlineLevel="0" collapsed="false">
      <c r="A8" s="26" t="s">
        <v>126</v>
      </c>
      <c r="B8" s="26" t="s">
        <v>1385</v>
      </c>
    </row>
    <row r="9" customFormat="false" ht="45" hidden="false" customHeight="true" outlineLevel="0" collapsed="false">
      <c r="A9" s="23" t="s">
        <v>1386</v>
      </c>
      <c r="B9" s="23" t="s">
        <v>1387</v>
      </c>
    </row>
    <row r="10" customFormat="false" ht="45" hidden="false" customHeight="true" outlineLevel="0" collapsed="false">
      <c r="A10" s="26" t="s">
        <v>1388</v>
      </c>
      <c r="B10" s="26" t="s">
        <v>1389</v>
      </c>
    </row>
    <row r="11" customFormat="false" ht="45" hidden="false" customHeight="true" outlineLevel="0" collapsed="false">
      <c r="A11" s="23" t="s">
        <v>1390</v>
      </c>
      <c r="B11" s="23" t="s">
        <v>1391</v>
      </c>
    </row>
  </sheetData>
  <autoFilter ref="A4:B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2026-10-13T11:35:32Z</dcterms:created>
  <dc:creator>openpyxl</dc:creator>
  <dc:description/>
  <dc:language>en-US</dc:language>
  <cp:lastModifiedBy/>
  <dcterms:modified xsi:type="dcterms:W3CDTF">2026-10-13T11:35:35Z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