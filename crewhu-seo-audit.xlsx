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ction Tracker" sheetId="2" state="visible" r:id="rId2"/>
    <sheet name="Quick Wins" sheetId="3" state="visible" r:id="rId3"/>
    <sheet name="Semrush Snapshot" sheetId="4" state="visible" r:id="rId4"/>
    <sheet name="Striking Distance" sheetId="5" state="visible" r:id="rId5"/>
    <sheet name="Top Pages" sheetId="6" state="visible" r:id="rId6"/>
    <sheet name="Title &amp; Meta Rewrites" sheetId="7" state="visible" r:id="rId7"/>
    <sheet name="Content Plan" sheetId="8" state="visible" r:id="rId8"/>
    <sheet name="Blog Cleanup" sheetId="9" state="visible" r:id="rId9"/>
    <sheet name="External Checks" sheetId="10" state="visible" r:id="rId10"/>
    <sheet name="Sources" sheetId="11" state="visible" r:id="rId11"/>
  </sheets>
  <definedNames>
    <definedName name="_xlnm._FilterDatabase" localSheetId="1" hidden="1">'Action Tracker'!$A$4:$M$24</definedName>
    <definedName name="_xlnm._FilterDatabase" localSheetId="2" hidden="1">'Quick Wins'!$A$3:$E$8</definedName>
    <definedName name="_xlnm._FilterDatabase" localSheetId="3" hidden="1">'Semrush Snapshot'!$A$4:$C$24</definedName>
    <definedName name="_xlnm._FilterDatabase" localSheetId="4" hidden="1">'Striking Distance'!$A$5:$J$28</definedName>
    <definedName name="_xlnm._FilterDatabase" localSheetId="5" hidden="1">'Top Pages'!$A$5:$F$25</definedName>
    <definedName name="_xlnm._FilterDatabase" localSheetId="6" hidden="1">'Title &amp; Meta Rewrites'!$A$1:$F$10</definedName>
    <definedName name="_xlnm._FilterDatabase" localSheetId="7" hidden="1">'Content Plan'!$A$1:$I$23</definedName>
    <definedName name="_xlnm._FilterDatabase" localSheetId="8" hidden="1">'Blog Cleanup'!$A$4:$E$14</definedName>
    <definedName name="_xlnm._FilterDatabase" localSheetId="9" hidden="1">'External Checks'!$A$1:$D$7</definedName>
    <definedName name="_xlnm._FilterDatabase" localSheetId="10" hidden="1">'Sources'!$A$1:$B$19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yyyy-mm-dd"/>
    <numFmt numFmtId="167" formatCode="$#,##0.00"/>
    <numFmt numFmtId="168" formatCode="0%;-0%;-"/>
  </numFmts>
  <fonts count="13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1F3A5F"/>
      <sz val="12"/>
    </font>
    <font>
      <name val="Arial"/>
      <color rgb="00008000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1F3A5F"/>
      <sz val="16"/>
    </font>
    <font>
      <name val="Arial"/>
      <b val="1"/>
      <color rgb="00008000"/>
      <sz val="10"/>
    </font>
    <font>
      <name val="Arial"/>
      <b val="1"/>
      <color rgb="00C00000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0" fillId="0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1" pivotButton="0" quotePrefix="0" xfId="0"/>
    <xf numFmtId="3" fontId="11" fillId="0" borderId="1" applyAlignment="1" pivotButton="0" quotePrefix="0" xfId="0">
      <alignment horizontal="left"/>
    </xf>
    <xf numFmtId="9" fontId="11" fillId="0" borderId="1" applyAlignment="1" pivotButton="0" quotePrefix="0" xfId="0">
      <alignment horizontal="left"/>
    </xf>
    <xf numFmtId="0" fontId="3" fillId="2" borderId="1" pivotButton="0" quotePrefix="0" xfId="0"/>
    <xf numFmtId="0" fontId="4" fillId="5" borderId="1" pivotButton="0" quotePrefix="0" xfId="0"/>
    <xf numFmtId="168" fontId="4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8" fillId="0" borderId="1" pivotButton="0" quotePrefix="0" xfId="0"/>
    <xf numFmtId="168" fontId="8" fillId="0" borderId="1" pivotButton="0" quotePrefix="0" xfId="0"/>
    <xf numFmtId="0" fontId="4" fillId="0" borderId="0" pivotButton="0" quotePrefix="0" xfId="0"/>
    <xf numFmtId="0" fontId="12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4" fillId="0" borderId="1" pivotButton="0" quotePrefix="0" xfId="0"/>
    <xf numFmtId="3" fontId="4" fillId="0" borderId="1" pivotButton="0" quotePrefix="0" xfId="0"/>
    <xf numFmtId="9" fontId="5" fillId="4" borderId="0" pivotButton="0" quotePrefix="0" xfId="0"/>
    <xf numFmtId="0" fontId="5" fillId="0" borderId="1" applyAlignment="1" pivotButton="0" quotePrefix="0" xfId="0">
      <alignment vertical="top" wrapText="1"/>
    </xf>
    <xf numFmtId="167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3" fontId="7" fillId="0" borderId="0" pivotButton="0" quotePrefix="0" xfId="0"/>
    <xf numFmtId="10" fontId="5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  <dxf>
      <font>
        <name val="Arial"/>
        <strike val="1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ction Tracker'!A1" TargetMode="External" Id="rId1" /><Relationship Type="http://schemas.openxmlformats.org/officeDocument/2006/relationships/hyperlink" Target="#'Quick Wins'!A1" TargetMode="External" Id="rId2" /><Relationship Type="http://schemas.openxmlformats.org/officeDocument/2006/relationships/hyperlink" Target="#'Semrush Snapshot'!A1" TargetMode="External" Id="rId3" /><Relationship Type="http://schemas.openxmlformats.org/officeDocument/2006/relationships/hyperlink" Target="#'Striking Distance'!A1" TargetMode="External" Id="rId4" /><Relationship Type="http://schemas.openxmlformats.org/officeDocument/2006/relationships/hyperlink" Target="#'Top Pages'!A1" TargetMode="External" Id="rId5" /><Relationship Type="http://schemas.openxmlformats.org/officeDocument/2006/relationships/hyperlink" Target="#'Title &amp; Meta Rewrites'!A1" TargetMode="External" Id="rId6" /><Relationship Type="http://schemas.openxmlformats.org/officeDocument/2006/relationships/hyperlink" Target="#'Content Plan'!A1" TargetMode="External" Id="rId7" /><Relationship Type="http://schemas.openxmlformats.org/officeDocument/2006/relationships/hyperlink" Target="#'Blog Cleanup'!A1" TargetMode="External" Id="rId8" /><Relationship Type="http://schemas.openxmlformats.org/officeDocument/2006/relationships/hyperlink" Target="#'External Checks'!A1" TargetMode="External" Id="rId9" /><Relationship Type="http://schemas.openxmlformats.org/officeDocument/2006/relationships/hyperlink" Target="#'Sources'!A1" TargetMode="External" Id="rId10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crewhu.com/" TargetMode="External" Id="rId1" /><Relationship Type="http://schemas.openxmlformats.org/officeDocument/2006/relationships/hyperlink" Target="https://www.crewhu.com/products" TargetMode="External" Id="rId2" /><Relationship Type="http://schemas.openxmlformats.org/officeDocument/2006/relationships/hyperlink" Target="https://www.crewhu.com/integrations" TargetMode="External" Id="rId3" /><Relationship Type="http://schemas.openxmlformats.org/officeDocument/2006/relationships/hyperlink" Target="https://www.crewhu.com/pricing" TargetMode="External" Id="rId4" /><Relationship Type="http://schemas.openxmlformats.org/officeDocument/2006/relationships/hyperlink" Target="https://www.crewhu.com/case-study/go2-tech" TargetMode="External" Id="rId5" /><Relationship Type="http://schemas.openxmlformats.org/officeDocument/2006/relationships/hyperlink" Target="https://get-help-tnt.crewhu.com/hc/en-us/sections/360000298233-Integrations" TargetMode="External" Id="rId6" /><Relationship Type="http://schemas.openxmlformats.org/officeDocument/2006/relationships/hyperlink" Target="https://www.simplesat.io/alternatives/crewhu-alternative" TargetMode="External" Id="rId7" /><Relationship Type="http://schemas.openxmlformats.org/officeDocument/2006/relationships/hyperlink" Target="https://www.simplesat.io/integrations/connectwise" TargetMode="External" Id="rId8" /><Relationship Type="http://schemas.openxmlformats.org/officeDocument/2006/relationships/hyperlink" Target="https://www.connectwise.com/platform/business-management/smileback" TargetMode="External" Id="rId9" /><Relationship Type="http://schemas.openxmlformats.org/officeDocument/2006/relationships/hyperlink" Target="https://www.capterra.com/p/140426/CrewHu/" TargetMode="External" Id="rId10" /><Relationship Type="http://schemas.openxmlformats.org/officeDocument/2006/relationships/hyperlink" Target="https://www.getapp.com/hr-employee-management-software/a/crewhu/" TargetMode="External" Id="rId11" /><Relationship Type="http://schemas.openxmlformats.org/officeDocument/2006/relationships/hyperlink" Target="https://www.g2.com/products/crewhu/competitors/alternatives" TargetMode="External" Id="rId12" /><Relationship Type="http://schemas.openxmlformats.org/officeDocument/2006/relationships/hyperlink" Target="https://www.netsuite.com/portal/resource/articles/business-strategy/msp-challenges.shtml" TargetMode="External" Id="rId13" /><Relationship Type="http://schemas.openxmlformats.org/officeDocument/2006/relationships/hyperlink" Target="https://www.ltvplus.com/msp/msp-technician-burnout/" TargetMode="External" Id="rId14" /><Relationship Type="http://schemas.openxmlformats.org/officeDocument/2006/relationships/hyperlink" Target="https://developers.google.com/search/docs/essentials/spam-policies" TargetMode="External" Id="rId1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SEO Audit: crewhu.com</t>
        </is>
      </c>
    </row>
    <row r="3">
      <c r="A3" s="2" t="inlineStr">
        <is>
          <t>Audit date</t>
        </is>
      </c>
      <c r="B3" s="3" t="inlineStr">
        <is>
          <t>2026-10-01 (v2 – with Semrush data)</t>
        </is>
      </c>
    </row>
    <row r="4">
      <c r="A4" s="2" t="inlineStr">
        <is>
          <t>Site</t>
        </is>
      </c>
      <c r="B4" s="3" t="inlineStr">
        <is>
          <t>https://www.crewhu.com/</t>
        </is>
      </c>
    </row>
    <row r="5">
      <c r="A5" s="2" t="inlineStr">
        <is>
          <t>Overall health</t>
        </is>
      </c>
      <c r="B5" s="4" t="inlineStr">
        <is>
          <t>Critical Issues</t>
        </is>
      </c>
    </row>
    <row r="6" ht="30" customHeight="1">
      <c r="A6" s="2" t="inlineStr">
        <is>
          <t>Method</t>
        </is>
      </c>
      <c r="B6" s="3" t="inlineStr">
        <is>
          <t>Semrush reports (US desktop, 1 Oct 2026) + search-engine index data + competitor SERPs. Direct site access was blocked, so HTML-level items are marked 'verify'.</t>
        </is>
      </c>
    </row>
    <row r="8">
      <c r="A8" s="5" t="inlineStr">
        <is>
          <t>Key numbers (Semrush)</t>
        </is>
      </c>
    </row>
    <row r="9">
      <c r="A9" s="6" t="inlineStr">
        <is>
          <t>Organic keywords</t>
        </is>
      </c>
      <c r="B9" s="7">
        <f>'Semrush Snapshot'!B5</f>
        <v/>
      </c>
    </row>
    <row r="10">
      <c r="A10" s="6" t="inlineStr">
        <is>
          <t>Keyword decline from 2023 peak</t>
        </is>
      </c>
      <c r="B10" s="8">
        <f>'Semrush Snapshot'!B27</f>
        <v/>
      </c>
    </row>
    <row r="11">
      <c r="A11" s="6" t="inlineStr">
        <is>
          <t>Est. organic visits / month</t>
        </is>
      </c>
      <c r="B11" s="7">
        <f>'Semrush Snapshot'!B7</f>
        <v/>
      </c>
    </row>
    <row r="12">
      <c r="A12" s="6" t="inlineStr">
        <is>
          <t>Branded traffic share</t>
        </is>
      </c>
      <c r="B12" s="8">
        <f>'Semrush Snapshot'!B9</f>
        <v/>
      </c>
    </row>
    <row r="13">
      <c r="A13" s="6" t="inlineStr">
        <is>
          <t>Est. non-branded visits / month</t>
        </is>
      </c>
      <c r="B13" s="7">
        <f>'Semrush Snapshot'!B28</f>
        <v/>
      </c>
    </row>
    <row r="14">
      <c r="A14" s="6" t="inlineStr">
        <is>
          <t>Keywords in top 3</t>
        </is>
      </c>
      <c r="B14" s="7">
        <f>'Semrush Snapshot'!B16</f>
        <v/>
      </c>
    </row>
    <row r="15">
      <c r="A15" s="6" t="inlineStr">
        <is>
          <t>Keywords at positions 11-20</t>
        </is>
      </c>
      <c r="B15" s="7">
        <f>'Semrush Snapshot'!B18</f>
        <v/>
      </c>
    </row>
    <row r="16">
      <c r="A16" s="6" t="inlineStr">
        <is>
          <t>Referring domains</t>
        </is>
      </c>
      <c r="B16" s="7">
        <f>'Semrush Snapshot'!B12</f>
        <v/>
      </c>
    </row>
    <row r="17">
      <c r="A17" s="6" t="inlineStr">
        <is>
          <t>Backlinks to web.crewhu.com (widget)</t>
        </is>
      </c>
      <c r="B17" s="7">
        <f>'Semrush Snapshot'!B15</f>
        <v/>
      </c>
    </row>
    <row r="19">
      <c r="A19" s="5" t="inlineStr">
        <is>
          <t>Findings by priority</t>
        </is>
      </c>
    </row>
    <row r="20">
      <c r="A20" s="9" t="inlineStr">
        <is>
          <t>Priority</t>
        </is>
      </c>
      <c r="B20" s="9" t="inlineStr">
        <is>
          <t>Total</t>
        </is>
      </c>
      <c r="C20" s="9" t="inlineStr">
        <is>
          <t>Done</t>
        </is>
      </c>
      <c r="D20" s="9" t="inlineStr">
        <is>
          <t>Open</t>
        </is>
      </c>
      <c r="E20" s="9" t="inlineStr">
        <is>
          <t>% Done</t>
        </is>
      </c>
    </row>
    <row r="21">
      <c r="A21" s="10" t="inlineStr">
        <is>
          <t>Critical</t>
        </is>
      </c>
      <c r="B21" s="6">
        <f>COUNTIF('Action Tracker'!$C$5:$C$24,A21)</f>
        <v/>
      </c>
      <c r="C21" s="6">
        <f>COUNTIFS('Action Tracker'!$C$5:$C$24,A21,'Action Tracker'!$L$5:$L$24,"Done")</f>
        <v/>
      </c>
      <c r="D21" s="6">
        <f>B21-C21</f>
        <v/>
      </c>
      <c r="E21" s="11">
        <f>IF(B21=0,0,C21/B21)</f>
        <v/>
      </c>
    </row>
    <row r="22">
      <c r="A22" s="12" t="inlineStr">
        <is>
          <t>Important</t>
        </is>
      </c>
      <c r="B22" s="6">
        <f>COUNTIF('Action Tracker'!$C$5:$C$24,A22)</f>
        <v/>
      </c>
      <c r="C22" s="6">
        <f>COUNTIFS('Action Tracker'!$C$5:$C$24,A22,'Action Tracker'!$L$5:$L$24,"Done")</f>
        <v/>
      </c>
      <c r="D22" s="6">
        <f>B22-C22</f>
        <v/>
      </c>
      <c r="E22" s="11">
        <f>IF(B22=0,0,C22/B22)</f>
        <v/>
      </c>
    </row>
    <row r="23">
      <c r="A23" s="13" t="inlineStr">
        <is>
          <t>Nice-to-have</t>
        </is>
      </c>
      <c r="B23" s="6">
        <f>COUNTIF('Action Tracker'!$C$5:$C$24,A23)</f>
        <v/>
      </c>
      <c r="C23" s="6">
        <f>COUNTIFS('Action Tracker'!$C$5:$C$24,A23,'Action Tracker'!$L$5:$L$24,"Done")</f>
        <v/>
      </c>
      <c r="D23" s="6">
        <f>B23-C23</f>
        <v/>
      </c>
      <c r="E23" s="11">
        <f>IF(B23=0,0,C23/B23)</f>
        <v/>
      </c>
    </row>
    <row r="24">
      <c r="A24" s="14" t="inlineStr">
        <is>
          <t>Total</t>
        </is>
      </c>
      <c r="B24" s="14">
        <f>SUM(B21:B23)</f>
        <v/>
      </c>
      <c r="C24" s="14">
        <f>SUM(C21:C23)</f>
        <v/>
      </c>
      <c r="D24" s="14">
        <f>SUM(D21:D23)</f>
        <v/>
      </c>
      <c r="E24" s="15">
        <f>IF(B24=0,0,C24/B24)</f>
        <v/>
      </c>
    </row>
    <row r="26">
      <c r="A26" s="5" t="inlineStr">
        <is>
          <t>Critical issues</t>
        </is>
      </c>
    </row>
    <row r="27">
      <c r="A27" s="16" t="inlineStr">
        <is>
          <t>SEO-01</t>
        </is>
      </c>
      <c r="B27" s="3" t="inlineStr">
        <is>
          <t>Non-branded visibility has collapsed and was never commercial</t>
        </is>
      </c>
    </row>
    <row r="28">
      <c r="A28" s="16" t="inlineStr">
        <is>
          <t>SEO-02</t>
        </is>
      </c>
      <c r="B28" s="3" t="inlineStr">
        <is>
          <t>CSAT widget links send equity to web.crewhu.com, not www</t>
        </is>
      </c>
    </row>
    <row r="29">
      <c r="A29" s="16" t="inlineStr">
        <is>
          <t>SEO-03</t>
        </is>
      </c>
      <c r="B29" s="3" t="inlineStr">
        <is>
          <t>Generic one-word titles on core commercial pages</t>
        </is>
      </c>
    </row>
    <row r="30">
      <c r="A30" s="16" t="inlineStr">
        <is>
          <t>SEO-04</t>
        </is>
      </c>
      <c r="B30" s="3" t="inlineStr">
        <is>
          <t>Competitors own 'Crewhu alternative' / comparison SERPs</t>
        </is>
      </c>
    </row>
    <row r="31">
      <c r="A31" s="16" t="inlineStr">
        <is>
          <t>SEO-05</t>
        </is>
      </c>
      <c r="B31" s="3" t="inlineStr">
        <is>
          <t>No ranking pages for '&lt;PSA&gt; CSAT survey'</t>
        </is>
      </c>
    </row>
    <row r="33">
      <c r="A33" s="5" t="inlineStr">
        <is>
          <t>What's working</t>
        </is>
      </c>
    </row>
    <row r="34">
      <c r="B34" s="3" t="inlineStr">
        <is>
          <t>Healthy brand demand: 'crewhu' 1,000/mo at #1; 'crewhu store' 320; 'crewhu login' 170.</t>
        </is>
      </c>
    </row>
    <row r="35">
      <c r="B35" s="3" t="inlineStr">
        <is>
          <t>'csat software' ranks #4 ($17.40 CPC) via /blog/csat-software-for-msps – one push from top 3.</t>
        </is>
      </c>
    </row>
    <row r="36">
      <c r="B36" s="3" t="inlineStr">
        <is>
          <t>Solid link base: ~1K referring domains, 86% follow – widget presence on customer sites proves reach.</t>
        </is>
      </c>
    </row>
    <row r="37">
      <c r="B37" s="3" t="inlineStr">
        <is>
          <t>Informational posts with broad reach: points system (39 kw), recognition program types (83 kw), testimonials (62 kw).</t>
        </is>
      </c>
    </row>
    <row r="38">
      <c r="B38" s="3" t="inlineStr">
        <is>
          <t>Strong proof: GO2 Tech (600% more Google reviews), Kraft (45% YoY), ACE IT (99% CSAT), 4.7★ G2.</t>
        </is>
      </c>
    </row>
    <row r="40">
      <c r="A40" s="17" t="inlineStr">
        <is>
          <t>Correction to v1</t>
        </is>
      </c>
    </row>
    <row r="41" ht="45" customHeight="1">
      <c r="B41" s="3" t="inlineStr">
        <is>
          <t>v1 said the Google-reviews post 'ranks #1' and the recognition-software post ranks for 'employee recognition software for MSPs'. Those came from a web-search tool, not Google rankings. Semrush shows the reviews post isn't among the pages getting traffic, and the recognition post is #20 for 'employee recognition software'.</t>
        </is>
      </c>
    </row>
    <row r="43">
      <c r="A43" s="5" t="inlineStr">
        <is>
          <t>Tabs</t>
        </is>
      </c>
    </row>
    <row r="44">
      <c r="A44" s="18" t="inlineStr">
        <is>
          <t>Action Tracker</t>
        </is>
      </c>
      <c r="B44" s="16" t="inlineStr">
        <is>
          <t>All 20 findings with evidence, fix, owner and status</t>
        </is>
      </c>
    </row>
    <row r="45">
      <c r="A45" s="18" t="inlineStr">
        <is>
          <t>Quick Wins</t>
        </is>
      </c>
      <c r="B45" s="16" t="inlineStr">
        <is>
          <t>Top 5 actions to do first</t>
        </is>
      </c>
    </row>
    <row r="46">
      <c r="A46" s="18" t="inlineStr">
        <is>
          <t>Semrush Snapshot</t>
        </is>
      </c>
      <c r="B46" s="16" t="inlineStr">
        <is>
          <t>Key Semrush metrics and derived ratios</t>
        </is>
      </c>
    </row>
    <row r="47">
      <c r="A47" s="18" t="inlineStr">
        <is>
          <t>Striking Distance</t>
        </is>
      </c>
      <c r="B47" s="16" t="inlineStr">
        <is>
          <t>Keyword opportunities with est. visits/value at position 3</t>
        </is>
      </c>
    </row>
    <row r="48">
      <c r="A48" s="18" t="inlineStr">
        <is>
          <t>Top Pages</t>
        </is>
      </c>
      <c r="B48" s="16" t="inlineStr">
        <is>
          <t>Top 20 organic pages with an action for each</t>
        </is>
      </c>
    </row>
    <row r="49">
      <c r="A49" s="18" t="inlineStr">
        <is>
          <t>Title &amp; Meta Rewrites</t>
        </is>
      </c>
      <c r="B49" s="16" t="inlineStr">
        <is>
          <t>Copy-paste titles/metas with length checks</t>
        </is>
      </c>
    </row>
    <row r="50">
      <c r="A50" s="18" t="inlineStr">
        <is>
          <t>Content Plan</t>
        </is>
      </c>
      <c r="B50" s="16" t="inlineStr">
        <is>
          <t>New pages to build</t>
        </is>
      </c>
    </row>
    <row r="51">
      <c r="A51" s="18" t="inlineStr">
        <is>
          <t>Blog Cleanup</t>
        </is>
      </c>
      <c r="B51" s="16" t="inlineStr">
        <is>
          <t>Consolidation clusters (merge/301)</t>
        </is>
      </c>
    </row>
    <row r="52">
      <c r="A52" s="18" t="inlineStr">
        <is>
          <t>External Checks</t>
        </is>
      </c>
      <c r="B52" s="16" t="inlineStr">
        <is>
          <t>Items still to verify</t>
        </is>
      </c>
    </row>
    <row r="53">
      <c r="A53" s="18" t="inlineStr">
        <is>
          <t>Sources</t>
        </is>
      </c>
      <c r="B53" s="16" t="inlineStr">
        <is>
          <t>Evidence</t>
        </is>
      </c>
    </row>
  </sheetData>
  <hyperlinks>
    <hyperlink xmlns:r="http://schemas.openxmlformats.org/officeDocument/2006/relationships" ref="A44" r:id="rId1"/>
    <hyperlink xmlns:r="http://schemas.openxmlformats.org/officeDocument/2006/relationships" ref="A45" r:id="rId2"/>
    <hyperlink xmlns:r="http://schemas.openxmlformats.org/officeDocument/2006/relationships" ref="A46" r:id="rId3"/>
    <hyperlink xmlns:r="http://schemas.openxmlformats.org/officeDocument/2006/relationships" ref="A47" r:id="rId4"/>
    <hyperlink xmlns:r="http://schemas.openxmlformats.org/officeDocument/2006/relationships" ref="A48" r:id="rId5"/>
    <hyperlink xmlns:r="http://schemas.openxmlformats.org/officeDocument/2006/relationships" ref="A49" r:id="rId6"/>
    <hyperlink xmlns:r="http://schemas.openxmlformats.org/officeDocument/2006/relationships" ref="A50" r:id="rId7"/>
    <hyperlink xmlns:r="http://schemas.openxmlformats.org/officeDocument/2006/relationships" ref="A51" r:id="rId8"/>
    <hyperlink xmlns:r="http://schemas.openxmlformats.org/officeDocument/2006/relationships" ref="A52" r:id="rId9"/>
    <hyperlink xmlns:r="http://schemas.openxmlformats.org/officeDocument/2006/relationships" ref="A53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34" customWidth="1" min="4" max="4"/>
    <col width="42" customWidth="1" min="5" max="5"/>
    <col width="32" customWidth="1" min="6" max="6"/>
    <col width="50" customWidth="1" min="7" max="7"/>
    <col width="9" customWidth="1" min="8" max="8"/>
    <col width="9" customWidth="1" min="9" max="9"/>
    <col width="14" customWidth="1" min="10" max="10"/>
    <col width="12" customWidth="1" min="11" max="11"/>
    <col width="13" customWidth="1" min="12" max="12"/>
    <col width="24" customWidth="1" min="13" max="13"/>
  </cols>
  <sheetData>
    <row r="1">
      <c r="A1" s="19" t="inlineStr">
        <is>
          <t>Crewhu.com SEO Audit – Action Tracker</t>
        </is>
      </c>
    </row>
    <row r="2">
      <c r="A2" s="20" t="inlineStr">
        <is>
          <t>Yellow columns (Owner, Due Date, Status, Notes) are for your team. Status: Not started / In progress / Done / Won't fix. First row's owner is an example.</t>
        </is>
      </c>
    </row>
    <row r="4">
      <c r="A4" s="21" t="inlineStr">
        <is>
          <t>ID</t>
        </is>
      </c>
      <c r="B4" s="21" t="inlineStr">
        <is>
          <t>Category</t>
        </is>
      </c>
      <c r="C4" s="21" t="inlineStr">
        <is>
          <t>Priority</t>
        </is>
      </c>
      <c r="D4" s="21" t="inlineStr">
        <is>
          <t>Finding</t>
        </is>
      </c>
      <c r="E4" s="21" t="inlineStr">
        <is>
          <t>Evidence</t>
        </is>
      </c>
      <c r="F4" s="21" t="inlineStr">
        <is>
          <t>Why it matters</t>
        </is>
      </c>
      <c r="G4" s="21" t="inlineStr">
        <is>
          <t>Recommendation</t>
        </is>
      </c>
      <c r="H4" s="21" t="inlineStr">
        <is>
          <t>Effort</t>
        </is>
      </c>
      <c r="I4" s="21" t="inlineStr">
        <is>
          <t>Impact</t>
        </is>
      </c>
      <c r="J4" s="21" t="inlineStr">
        <is>
          <t>Owner</t>
        </is>
      </c>
      <c r="K4" s="21" t="inlineStr">
        <is>
          <t>Due Date</t>
        </is>
      </c>
      <c r="L4" s="21" t="inlineStr">
        <is>
          <t>Status</t>
        </is>
      </c>
      <c r="M4" s="21" t="inlineStr">
        <is>
          <t>Notes</t>
        </is>
      </c>
    </row>
    <row r="5">
      <c r="A5" s="22" t="inlineStr">
        <is>
          <t>SEO-01</t>
        </is>
      </c>
      <c r="B5" s="22" t="inlineStr">
        <is>
          <t>Strategy</t>
        </is>
      </c>
      <c r="C5" s="22" t="inlineStr">
        <is>
          <t>Critical</t>
        </is>
      </c>
      <c r="D5" s="22" t="inlineStr">
        <is>
          <t>Non-branded visibility has collapsed and was never commercial</t>
        </is>
      </c>
      <c r="E5" s="22" t="inlineStr">
        <is>
          <t>937 keywords vs ≈2.6K peak (2023); 19 in top 3 (mostly brand); 81% branded traffic; 90 commercial keywords → ≈36 visits/mo</t>
        </is>
      </c>
      <c r="F5" s="22" t="inlineStr">
        <is>
          <t>Search brings almost no new buyers; demand gen depends on brand and paid/outbound.</t>
        </is>
      </c>
      <c r="G5" s="22" t="inlineStr">
        <is>
          <t>Refocus on MSP commercial pages (CSAT, recognition, gamification, reviews), comparisons and integrations; refresh striking-distance pages (see Striking Distance tab).</t>
        </is>
      </c>
      <c r="H5" s="22" t="inlineStr">
        <is>
          <t>High</t>
        </is>
      </c>
      <c r="I5" s="22" t="inlineStr">
        <is>
          <t>High</t>
        </is>
      </c>
      <c r="J5" s="23" t="inlineStr">
        <is>
          <t>SEO lead</t>
        </is>
      </c>
      <c r="K5" s="24" t="n"/>
      <c r="L5" s="23" t="inlineStr">
        <is>
          <t>Not started</t>
        </is>
      </c>
      <c r="M5" s="23" t="inlineStr"/>
    </row>
    <row r="6">
      <c r="A6" s="22" t="inlineStr">
        <is>
          <t>SEO-02</t>
        </is>
      </c>
      <c r="B6" s="22" t="inlineStr">
        <is>
          <t>Off-Site</t>
        </is>
      </c>
      <c r="C6" s="22" t="inlineStr">
        <is>
          <t>Critical</t>
        </is>
      </c>
      <c r="D6" s="22" t="inlineStr">
        <is>
          <t>CSAT widget links send equity to web.crewhu.com, not www</t>
        </is>
      </c>
      <c r="E6" s="22" t="inlineStr">
        <is>
          <t>web.crewhu.com: 4,834 backlinks / 161 domains (top page); 69% empty anchors; 66% image links; tigerhawktech.com 6,230 sitewide links</t>
        </is>
      </c>
      <c r="F6" s="22" t="inlineStr">
        <is>
          <t>Crewhu's largest link source builds authority on a non-marketing subdomain.</t>
        </is>
      </c>
      <c r="G6" s="22" t="inlineStr">
        <is>
          <t>Change the widget's 'Powered by Crewhu' credit to a text link to https://www.crewhu.com/ (or /csat-widget) with a BRAND anchor (not keyword-rich – Google treats keyword widget links as spam). 301 web.crewhu.com root to www if not needed.</t>
        </is>
      </c>
      <c r="H6" s="22" t="inlineStr">
        <is>
          <t>Low</t>
        </is>
      </c>
      <c r="I6" s="22" t="inlineStr">
        <is>
          <t>High</t>
        </is>
      </c>
      <c r="J6" s="23" t="inlineStr"/>
      <c r="K6" s="24" t="n"/>
      <c r="L6" s="23" t="inlineStr">
        <is>
          <t>Not started</t>
        </is>
      </c>
      <c r="M6" s="23" t="inlineStr"/>
    </row>
    <row r="7">
      <c r="A7" s="22" t="inlineStr">
        <is>
          <t>SEO-03</t>
        </is>
      </c>
      <c r="B7" s="22" t="inlineStr">
        <is>
          <t>On-Page</t>
        </is>
      </c>
      <c r="C7" s="22" t="inlineStr">
        <is>
          <t>Critical</t>
        </is>
      </c>
      <c r="D7" s="22" t="inlineStr">
        <is>
          <t>Generic one-word titles on core commercial pages</t>
        </is>
      </c>
      <c r="E7" s="22" t="inlineStr">
        <is>
          <t>/products (15.9% traffic, only 'crewhu store'), /integrations, /about-us, /collect-customer-feedback (1 kw), /gamify-your-metrics</t>
        </is>
      </c>
      <c r="F7" s="22" t="inlineStr">
        <is>
          <t>Highest-intent pages send no category signal.</t>
        </is>
      </c>
      <c r="G7" s="22" t="inlineStr">
        <is>
          <t>Apply rewrites in 'Title &amp; Meta Rewrites'.</t>
        </is>
      </c>
      <c r="H7" s="22" t="inlineStr">
        <is>
          <t>Low</t>
        </is>
      </c>
      <c r="I7" s="22" t="inlineStr">
        <is>
          <t>High</t>
        </is>
      </c>
      <c r="J7" s="23" t="inlineStr"/>
      <c r="K7" s="24" t="n"/>
      <c r="L7" s="23" t="inlineStr">
        <is>
          <t>Not started</t>
        </is>
      </c>
      <c r="M7" s="23" t="inlineStr"/>
    </row>
    <row r="8">
      <c r="A8" s="22" t="inlineStr">
        <is>
          <t>SEO-04</t>
        </is>
      </c>
      <c r="B8" s="22" t="inlineStr">
        <is>
          <t>Content</t>
        </is>
      </c>
      <c r="C8" s="22" t="inlineStr">
        <is>
          <t>Critical</t>
        </is>
      </c>
      <c r="D8" s="22" t="inlineStr">
        <is>
          <t>Competitors own 'Crewhu alternative' / comparison SERPs</t>
        </is>
      </c>
      <c r="E8" s="22" t="inlineStr">
        <is>
          <t>simplesat.io/alternatives/crewhu-alternative; G2/Capterra/GetApp; Semrush shows zero overlap with SmileBack/Simplesat</t>
        </is>
      </c>
      <c r="F8" s="22" t="inlineStr">
        <is>
          <t>Bottom-of-funnel buyers see competitor framing and outdated pricing.</t>
        </is>
      </c>
      <c r="G8" s="22" t="inlineStr">
        <is>
          <t>Build /compare/* and alternatives pages (Content Plan).</t>
        </is>
      </c>
      <c r="H8" s="22" t="inlineStr">
        <is>
          <t>Medium</t>
        </is>
      </c>
      <c r="I8" s="22" t="inlineStr">
        <is>
          <t>High</t>
        </is>
      </c>
      <c r="J8" s="23" t="inlineStr"/>
      <c r="K8" s="24" t="n"/>
      <c r="L8" s="23" t="inlineStr">
        <is>
          <t>Not started</t>
        </is>
      </c>
      <c r="M8" s="23" t="inlineStr"/>
    </row>
    <row r="9">
      <c r="A9" s="22" t="inlineStr">
        <is>
          <t>SEO-05</t>
        </is>
      </c>
      <c r="B9" s="22" t="inlineStr">
        <is>
          <t>Content</t>
        </is>
      </c>
      <c r="C9" s="22" t="inlineStr">
        <is>
          <t>Critical</t>
        </is>
      </c>
      <c r="D9" s="22" t="inlineStr">
        <is>
          <t>No ranking pages for '&lt;PSA&gt; CSAT survey'</t>
        </is>
      </c>
      <c r="E9" s="22" t="inlineStr">
        <is>
          <t>Simplesat, SmileBack, BizRatings rank for 'ConnectWise CSAT survey'; Crewhu only has help articles</t>
        </is>
      </c>
      <c r="F9" s="22" t="inlineStr">
        <is>
          <t>High-intent integration searches go to competitors.</t>
        </is>
      </c>
      <c r="G9" s="22" t="inlineStr">
        <is>
          <t>Create /integrations/&lt;psa&gt; landing pages.</t>
        </is>
      </c>
      <c r="H9" s="22" t="inlineStr">
        <is>
          <t>Medium</t>
        </is>
      </c>
      <c r="I9" s="22" t="inlineStr">
        <is>
          <t>High</t>
        </is>
      </c>
      <c r="J9" s="23" t="inlineStr"/>
      <c r="K9" s="24" t="n"/>
      <c r="L9" s="23" t="inlineStr">
        <is>
          <t>Not started</t>
        </is>
      </c>
      <c r="M9" s="23" t="inlineStr"/>
    </row>
    <row r="10">
      <c r="A10" s="22" t="inlineStr">
        <is>
          <t>SEO-06</t>
        </is>
      </c>
      <c r="B10" s="22" t="inlineStr">
        <is>
          <t>Technical</t>
        </is>
      </c>
      <c r="C10" s="22" t="inlineStr">
        <is>
          <t>Important</t>
        </is>
      </c>
      <c r="D10" s="22" t="inlineStr">
        <is>
          <t>Host variants rank separately</t>
        </is>
      </c>
      <c r="E10" s="22" t="inlineStr">
        <is>
          <t>http://crewhu.com/ = 3.3% traffic, 3 kw; backlinks to https://crewhu.com/ (223 domains) and http://crewhu.com/ (166 domains)</t>
        </is>
      </c>
      <c r="F10" s="22" t="inlineStr">
        <is>
          <t>Possible missing/chained redirects; split signals.</t>
        </is>
      </c>
      <c r="G10" s="22" t="inlineStr">
        <is>
          <t>Ensure single-hop 301 from all http/non-www variants to https://www.crewhu.com/; canonicals use www https.</t>
        </is>
      </c>
      <c r="H10" s="22" t="inlineStr">
        <is>
          <t>Low</t>
        </is>
      </c>
      <c r="I10" s="22" t="inlineStr">
        <is>
          <t>Medium</t>
        </is>
      </c>
      <c r="J10" s="23" t="inlineStr"/>
      <c r="K10" s="24" t="n"/>
      <c r="L10" s="23" t="inlineStr">
        <is>
          <t>Not started</t>
        </is>
      </c>
      <c r="M10" s="23" t="inlineStr"/>
    </row>
    <row r="11">
      <c r="A11" s="22" t="inlineStr">
        <is>
          <t>SEO-07</t>
        </is>
      </c>
      <c r="B11" s="22" t="inlineStr">
        <is>
          <t>Content</t>
        </is>
      </c>
      <c r="C11" s="22" t="inlineStr">
        <is>
          <t>Important</t>
        </is>
      </c>
      <c r="D11" s="22" t="inlineStr">
        <is>
          <t>Blog cannibalization clusters</t>
        </is>
      </c>
      <c r="E11" s="22" t="inlineStr">
        <is>
          <t>SMART goals ×4, EBITDA ×3, reviews ×5, CSAT ×5, recognition guides ×2 (see Blog Cleanup)</t>
        </is>
      </c>
      <c r="F11" s="22" t="inlineStr">
        <is>
          <t>Posts compete for the same intent; none ranks well.</t>
        </is>
      </c>
      <c r="G11" s="22" t="inlineStr">
        <is>
          <t>Merge each cluster into one pillar page; 301 the rest.</t>
        </is>
      </c>
      <c r="H11" s="22" t="inlineStr">
        <is>
          <t>Medium</t>
        </is>
      </c>
      <c r="I11" s="22" t="inlineStr">
        <is>
          <t>High</t>
        </is>
      </c>
      <c r="J11" s="23" t="inlineStr"/>
      <c r="K11" s="24" t="n"/>
      <c r="L11" s="23" t="inlineStr">
        <is>
          <t>Not started</t>
        </is>
      </c>
      <c r="M11" s="23" t="inlineStr"/>
    </row>
    <row r="12">
      <c r="A12" s="22" t="inlineStr">
        <is>
          <t>SEO-08</t>
        </is>
      </c>
      <c r="B12" s="22" t="inlineStr">
        <is>
          <t>Content</t>
        </is>
      </c>
      <c r="C12" s="22" t="inlineStr">
        <is>
          <t>Important</t>
        </is>
      </c>
      <c r="D12" s="22" t="inlineStr">
        <is>
          <t>179 keywords at positions 11-20 (striking distance)</t>
        </is>
      </c>
      <c r="E12" s="22" t="inlineStr">
        <is>
          <t>e.g. 'what is the customer care' #11 (1,900), 'employee recognition software' #20 (1,900), 'customer surveys' #15 (1,000), 'competitive benchmarking' #18 (1,300)</t>
        </is>
      </c>
      <c r="F12" s="22" t="inlineStr">
        <is>
          <t>Cheapest traffic gains available.</t>
        </is>
      </c>
      <c r="G12" s="22" t="inlineStr">
        <is>
          <t>Refresh the commercially relevant pages first (Striking Distance tab).</t>
        </is>
      </c>
      <c r="H12" s="22" t="inlineStr">
        <is>
          <t>Medium</t>
        </is>
      </c>
      <c r="I12" s="22" t="inlineStr">
        <is>
          <t>High</t>
        </is>
      </c>
      <c r="J12" s="23" t="inlineStr"/>
      <c r="K12" s="24" t="n"/>
      <c r="L12" s="23" t="inlineStr">
        <is>
          <t>Not started</t>
        </is>
      </c>
      <c r="M12" s="23" t="inlineStr"/>
    </row>
    <row r="13">
      <c r="A13" s="22" t="inlineStr">
        <is>
          <t>SEO-09</t>
        </is>
      </c>
      <c r="B13" s="22" t="inlineStr">
        <is>
          <t>Content</t>
        </is>
      </c>
      <c r="C13" s="22" t="inlineStr">
        <is>
          <t>Important</t>
        </is>
      </c>
      <c r="D13" s="22" t="inlineStr">
        <is>
          <t>Top traffic blog posts lack conversion paths (verify)</t>
        </is>
      </c>
      <c r="E13" s="22" t="inlineStr">
        <is>
          <t>how-to-start-a-points-system (3.7%), 6-types-of-employee-recognition... (83 kw), strategies-to-gather-client-testimonials (62 kw)</t>
        </is>
      </c>
      <c r="F13" s="22" t="inlineStr">
        <is>
          <t>Traffic that does arrive isn't steered to product.</t>
        </is>
      </c>
      <c r="G13" s="22" t="inlineStr">
        <is>
          <t>Add in-content CTA + product module + link to matching product page on each top post.</t>
        </is>
      </c>
      <c r="H13" s="22" t="inlineStr">
        <is>
          <t>Low</t>
        </is>
      </c>
      <c r="I13" s="22" t="inlineStr">
        <is>
          <t>Medium</t>
        </is>
      </c>
      <c r="J13" s="23" t="inlineStr"/>
      <c r="K13" s="24" t="n"/>
      <c r="L13" s="23" t="inlineStr">
        <is>
          <t>Not started</t>
        </is>
      </c>
      <c r="M13" s="23" t="inlineStr"/>
    </row>
    <row r="14">
      <c r="A14" s="22" t="inlineStr">
        <is>
          <t>SEO-10</t>
        </is>
      </c>
      <c r="B14" s="22" t="inlineStr">
        <is>
          <t>Technical</t>
        </is>
      </c>
      <c r="C14" s="22" t="inlineStr">
        <is>
          <t>Important</t>
        </is>
      </c>
      <c r="D14" s="22" t="inlineStr">
        <is>
          <t>Thin / utility URLs indexed</t>
        </is>
      </c>
      <c r="E14" s="22" t="inlineStr">
        <is>
          <t>/case-study/author/adam-radulovic (ranks for a person's name), iam.crewhu.com/forgot-password, help articles (MFA, Employee ID)</t>
        </is>
      </c>
      <c r="F14" s="22" t="inlineStr">
        <is>
          <t>Crawl/index waste; odd SERP appearances.</t>
        </is>
      </c>
      <c r="G14" s="22" t="inlineStr">
        <is>
          <t>Noindex author archives and IAM/login pages.</t>
        </is>
      </c>
      <c r="H14" s="22" t="inlineStr">
        <is>
          <t>Low</t>
        </is>
      </c>
      <c r="I14" s="22" t="inlineStr">
        <is>
          <t>Low</t>
        </is>
      </c>
      <c r="J14" s="23" t="inlineStr"/>
      <c r="K14" s="24" t="n"/>
      <c r="L14" s="23" t="inlineStr">
        <is>
          <t>Not started</t>
        </is>
      </c>
      <c r="M14" s="23" t="inlineStr"/>
    </row>
    <row r="15">
      <c r="A15" s="22" t="inlineStr">
        <is>
          <t>SEO-11</t>
        </is>
      </c>
      <c r="B15" s="22" t="inlineStr">
        <is>
          <t>Technical</t>
        </is>
      </c>
      <c r="C15" s="22" t="inlineStr">
        <is>
          <t>Important</t>
        </is>
      </c>
      <c r="D15" s="22" t="inlineStr">
        <is>
          <t>Duplicate free-trial / demo pages indexed</t>
        </is>
      </c>
      <c r="E15" s="22" t="inlineStr">
        <is>
          <t>/start-free-trial, /free-trial-3, /free-trial-g2, /book-a-crewhu-demo-today (Semrush: ~no traffic)</t>
        </is>
      </c>
      <c r="F15" s="22" t="inlineStr">
        <is>
          <t>Low traffic impact but index clutter and split intent.</t>
        </is>
      </c>
      <c r="G15" s="22" t="inlineStr">
        <is>
          <t>Noindex campaign variants; one canonical /free-trial and /demo; remove from sitemap.</t>
        </is>
      </c>
      <c r="H15" s="22" t="inlineStr">
        <is>
          <t>Low</t>
        </is>
      </c>
      <c r="I15" s="22" t="inlineStr">
        <is>
          <t>Low</t>
        </is>
      </c>
      <c r="J15" s="23" t="inlineStr"/>
      <c r="K15" s="24" t="n"/>
      <c r="L15" s="23" t="inlineStr">
        <is>
          <t>Not started</t>
        </is>
      </c>
      <c r="M15" s="23" t="inlineStr"/>
    </row>
    <row r="16">
      <c r="A16" s="22" t="inlineStr">
        <is>
          <t>SEO-12</t>
        </is>
      </c>
      <c r="B16" s="22" t="inlineStr">
        <is>
          <t>Content</t>
        </is>
      </c>
      <c r="C16" s="22" t="inlineStr">
        <is>
          <t>Important</t>
        </is>
      </c>
      <c r="D16" s="22" t="inlineStr">
        <is>
          <t>Topical drift away from MSP CSAT/recognition</t>
        </is>
      </c>
      <c r="E16" s="22" t="inlineStr">
        <is>
          <t>Semrush top competitors are testimonial/design sites (senja.io, boast.io, minimadesigns.com); posts rank for EBITDA, Keap, warehouse gamification</t>
        </is>
      </c>
      <c r="F16" s="22" t="inlineStr">
        <is>
          <t>Weakens relevance for money terms.</t>
        </is>
      </c>
      <c r="G16" s="22" t="inlineStr">
        <is>
          <t>Refresh drifting posts with MSP angle or prune; new content only in core clusters.</t>
        </is>
      </c>
      <c r="H16" s="22" t="inlineStr">
        <is>
          <t>Medium</t>
        </is>
      </c>
      <c r="I16" s="22" t="inlineStr">
        <is>
          <t>Medium</t>
        </is>
      </c>
      <c r="J16" s="23" t="inlineStr"/>
      <c r="K16" s="24" t="n"/>
      <c r="L16" s="23" t="inlineStr">
        <is>
          <t>Not started</t>
        </is>
      </c>
      <c r="M16" s="23" t="inlineStr"/>
    </row>
    <row r="17">
      <c r="A17" s="22" t="inlineStr">
        <is>
          <t>SEO-13</t>
        </is>
      </c>
      <c r="B17" s="22" t="inlineStr">
        <is>
          <t>Content</t>
        </is>
      </c>
      <c r="C17" s="22" t="inlineStr">
        <is>
          <t>Important</t>
        </is>
      </c>
      <c r="D17" s="22" t="inlineStr">
        <is>
          <t>Case studies get almost no search traffic</t>
        </is>
      </c>
      <c r="E17" s="22" t="inlineStr">
        <is>
          <t>/case-study/go2-tech 0.24%, /case-study/succurri &lt;0.01%; Kraft &amp; ACE IT not indexed</t>
        </is>
      </c>
      <c r="F17" s="22" t="inlineStr">
        <is>
          <t>Strongest proof is invisible.</t>
        </is>
      </c>
      <c r="G17" s="22" t="inlineStr">
        <is>
          <t>Build /customers hub, metric-led titles, link from product/blog pages.</t>
        </is>
      </c>
      <c r="H17" s="22" t="inlineStr">
        <is>
          <t>Medium</t>
        </is>
      </c>
      <c r="I17" s="22" t="inlineStr">
        <is>
          <t>Medium</t>
        </is>
      </c>
      <c r="J17" s="23" t="inlineStr"/>
      <c r="K17" s="24" t="n"/>
      <c r="L17" s="23" t="inlineStr">
        <is>
          <t>Not started</t>
        </is>
      </c>
      <c r="M17" s="23" t="inlineStr"/>
    </row>
    <row r="18">
      <c r="A18" s="22" t="inlineStr">
        <is>
          <t>SEO-14</t>
        </is>
      </c>
      <c r="B18" s="22" t="inlineStr">
        <is>
          <t>Technical</t>
        </is>
      </c>
      <c r="C18" s="22" t="inlineStr">
        <is>
          <t>Important</t>
        </is>
      </c>
      <c r="D18" s="22" t="inlineStr">
        <is>
          <t>Help center on get-help-tnt.crewhu.com subdomain</t>
        </is>
      </c>
      <c r="E18" s="22" t="inlineStr">
        <is>
          <t>zendesk.com is a top referring domain (799 links); help articles rank for long-tail</t>
        </is>
      </c>
      <c r="F18" s="22" t="inlineStr">
        <is>
          <t>Authority and integration intent stay on subdomain.</t>
        </is>
      </c>
      <c r="G18" s="22" t="inlineStr">
        <is>
          <t>Link each article to /integrations/&lt;psa&gt;; consider help.crewhu.com.</t>
        </is>
      </c>
      <c r="H18" s="22" t="inlineStr">
        <is>
          <t>Medium</t>
        </is>
      </c>
      <c r="I18" s="22" t="inlineStr">
        <is>
          <t>Medium</t>
        </is>
      </c>
      <c r="J18" s="23" t="inlineStr"/>
      <c r="K18" s="24" t="n"/>
      <c r="L18" s="23" t="inlineStr">
        <is>
          <t>Not started</t>
        </is>
      </c>
      <c r="M18" s="23" t="inlineStr"/>
    </row>
    <row r="19">
      <c r="A19" s="22" t="inlineStr">
        <is>
          <t>SEO-15</t>
        </is>
      </c>
      <c r="B19" s="22" t="inlineStr">
        <is>
          <t>Technical</t>
        </is>
      </c>
      <c r="C19" s="22" t="inlineStr">
        <is>
          <t>Important</t>
        </is>
      </c>
      <c r="D19" s="22" t="inlineStr">
        <is>
          <t>Structured data not confirmed (verify)</t>
        </is>
      </c>
      <c r="E19" s="22" t="inlineStr">
        <is>
          <t>Homepage, /pricing, blog</t>
        </is>
      </c>
      <c r="F19" s="22" t="inlineStr">
        <is>
          <t>Missed rich results / entity clarity.</t>
        </is>
      </c>
      <c r="G19" s="22" t="inlineStr">
        <is>
          <t>SoftwareApplication (offers $119/$239/$399), Organization + sameAs + alternateName, BlogPosting + author, BreadcrumbList.</t>
        </is>
      </c>
      <c r="H19" s="22" t="inlineStr">
        <is>
          <t>Low</t>
        </is>
      </c>
      <c r="I19" s="22" t="inlineStr">
        <is>
          <t>Medium</t>
        </is>
      </c>
      <c r="J19" s="23" t="inlineStr"/>
      <c r="K19" s="24" t="n"/>
      <c r="L19" s="23" t="inlineStr">
        <is>
          <t>Not started</t>
        </is>
      </c>
      <c r="M19" s="23" t="inlineStr"/>
    </row>
    <row r="20">
      <c r="A20" s="22" t="inlineStr">
        <is>
          <t>SEO-16</t>
        </is>
      </c>
      <c r="B20" s="22" t="inlineStr">
        <is>
          <t>Off-Site</t>
        </is>
      </c>
      <c r="C20" s="22" t="inlineStr">
        <is>
          <t>Important</t>
        </is>
      </c>
      <c r="D20" s="22" t="inlineStr">
        <is>
          <t>Outdated pricing on review sites</t>
        </is>
      </c>
      <c r="E20" s="22" t="inlineStr">
        <is>
          <t>Capterra, GetApp, SourceForge, Software Advice: '$99/user'</t>
        </is>
      </c>
      <c r="F20" s="22" t="inlineStr">
        <is>
          <t>Conflicts with real plans.</t>
        </is>
      </c>
      <c r="G20" s="22" t="inlineStr">
        <is>
          <t>Claim profiles, update pricing, drive fresh reviews.</t>
        </is>
      </c>
      <c r="H20" s="22" t="inlineStr">
        <is>
          <t>Low</t>
        </is>
      </c>
      <c r="I20" s="22" t="inlineStr">
        <is>
          <t>Medium</t>
        </is>
      </c>
      <c r="J20" s="23" t="inlineStr"/>
      <c r="K20" s="24" t="n"/>
      <c r="L20" s="23" t="inlineStr">
        <is>
          <t>Not started</t>
        </is>
      </c>
      <c r="M20" s="23" t="inlineStr"/>
    </row>
    <row r="21">
      <c r="A21" s="22" t="inlineStr">
        <is>
          <t>SEO-17</t>
        </is>
      </c>
      <c r="B21" s="22" t="inlineStr">
        <is>
          <t>On-Page</t>
        </is>
      </c>
      <c r="C21" s="22" t="inlineStr">
        <is>
          <t>Important</t>
        </is>
      </c>
      <c r="D21" s="22" t="inlineStr">
        <is>
          <t>Non-descriptive slugs / 'Ask Ashley' titles</t>
        </is>
      </c>
      <c r="E21" s="22" t="inlineStr">
        <is>
          <t>/gamify-your-metrics, /ask-ashley/ask-ashley-take-one</t>
        </is>
      </c>
      <c r="F21" s="22" t="inlineStr">
        <is>
          <t>Weak keyword signals.</t>
        </is>
      </c>
      <c r="G21" s="22" t="inlineStr">
        <is>
          <t>Retitle posts; change slugs only with 301s.</t>
        </is>
      </c>
      <c r="H21" s="22" t="inlineStr">
        <is>
          <t>Low</t>
        </is>
      </c>
      <c r="I21" s="22" t="inlineStr">
        <is>
          <t>Low</t>
        </is>
      </c>
      <c r="J21" s="23" t="inlineStr"/>
      <c r="K21" s="24" t="n"/>
      <c r="L21" s="23" t="inlineStr">
        <is>
          <t>Not started</t>
        </is>
      </c>
      <c r="M21" s="23" t="inlineStr"/>
    </row>
    <row r="22">
      <c r="A22" s="22" t="inlineStr">
        <is>
          <t>SEO-18</t>
        </is>
      </c>
      <c r="B22" s="22" t="inlineStr">
        <is>
          <t>Off-Site</t>
        </is>
      </c>
      <c r="C22" s="22" t="inlineStr">
        <is>
          <t>Nice-to-have</t>
        </is>
      </c>
      <c r="D22" s="22" t="inlineStr">
        <is>
          <t>Brand misspellings not consolidated</t>
        </is>
      </c>
      <c r="E22" s="22" t="inlineStr">
        <is>
          <t>'crewhub' #10 (170), 'crewhub login' #3, 'crew web' #13 (210)</t>
        </is>
      </c>
      <c r="F22" s="22" t="inlineStr">
        <is>
          <t>Some navigational demand lands elsewhere.</t>
        </is>
      </c>
      <c r="G22" s="22" t="inlineStr">
        <is>
          <t>Add alternateName 'Crewhub' to Organization schema; mention on About page.</t>
        </is>
      </c>
      <c r="H22" s="22" t="inlineStr">
        <is>
          <t>Low</t>
        </is>
      </c>
      <c r="I22" s="22" t="inlineStr">
        <is>
          <t>Low</t>
        </is>
      </c>
      <c r="J22" s="23" t="inlineStr"/>
      <c r="K22" s="24" t="n"/>
      <c r="L22" s="23" t="inlineStr">
        <is>
          <t>Not started</t>
        </is>
      </c>
      <c r="M22" s="23" t="inlineStr"/>
    </row>
    <row r="23">
      <c r="A23" s="22" t="inlineStr">
        <is>
          <t>SEO-19</t>
        </is>
      </c>
      <c r="B23" s="22" t="inlineStr">
        <is>
          <t>Technical</t>
        </is>
      </c>
      <c r="C23" s="22" t="inlineStr">
        <is>
          <t>Nice-to-have</t>
        </is>
      </c>
      <c r="D23" s="22" t="inlineStr">
        <is>
          <t>Core Web Vitals not measured (verify)</t>
        </is>
      </c>
      <c r="E23" s="22" t="inlineStr">
        <is>
          <t>Sitewide</t>
        </is>
      </c>
      <c r="F23" s="22" t="inlineStr">
        <is>
          <t>Possible LCP/INP issues.</t>
        </is>
      </c>
      <c r="G23" s="22" t="inlineStr">
        <is>
          <t>Check PageSpeed Insights; defer chat/analytics scripts.</t>
        </is>
      </c>
      <c r="H23" s="22" t="inlineStr">
        <is>
          <t>Medium</t>
        </is>
      </c>
      <c r="I23" s="22" t="inlineStr">
        <is>
          <t>Low</t>
        </is>
      </c>
      <c r="J23" s="23" t="inlineStr"/>
      <c r="K23" s="24" t="n"/>
      <c r="L23" s="23" t="inlineStr">
        <is>
          <t>Not started</t>
        </is>
      </c>
      <c r="M23" s="23" t="inlineStr"/>
    </row>
    <row r="24">
      <c r="A24" s="22" t="inlineStr">
        <is>
          <t>SEO-20</t>
        </is>
      </c>
      <c r="B24" s="22" t="inlineStr">
        <is>
          <t>Off-Site</t>
        </is>
      </c>
      <c r="C24" s="22" t="inlineStr">
        <is>
          <t>Nice-to-have</t>
        </is>
      </c>
      <c r="D24" s="22" t="inlineStr">
        <is>
          <t>Partner/marketplace links underused</t>
        </is>
      </c>
      <c r="E24" s="22" t="inlineStr">
        <is>
          <t>ConnectWise Marketplace, Kaseya, HaloPSA, Pax8</t>
        </is>
      </c>
      <c r="F24" s="22" t="inlineStr">
        <is>
          <t>Relevant authoritative links available.</t>
        </is>
      </c>
      <c r="G24" s="22" t="inlineStr">
        <is>
          <t>Request listings linking to /integrations/&lt;psa&gt;; pitch benchmark report to MSP media.</t>
        </is>
      </c>
      <c r="H24" s="22" t="inlineStr">
        <is>
          <t>Medium</t>
        </is>
      </c>
      <c r="I24" s="22" t="inlineStr">
        <is>
          <t>Medium</t>
        </is>
      </c>
      <c r="J24" s="23" t="inlineStr"/>
      <c r="K24" s="24" t="n"/>
      <c r="L24" s="23" t="inlineStr">
        <is>
          <t>Not started</t>
        </is>
      </c>
      <c r="M24" s="23" t="inlineStr"/>
    </row>
  </sheetData>
  <autoFilter ref="A4:M24"/>
  <conditionalFormatting sqref="C5:C24">
    <cfRule type="cellIs" priority="1" operator="equal" dxfId="0">
      <formula>"Critical"</formula>
    </cfRule>
    <cfRule type="cellIs" priority="2" operator="equal" dxfId="1">
      <formula>"Important"</formula>
    </cfRule>
    <cfRule type="cellIs" priority="3" operator="equal" dxfId="2">
      <formula>"Nice-to-have"</formula>
    </cfRule>
  </conditionalFormatting>
  <conditionalFormatting sqref="A5:M24">
    <cfRule type="expression" priority="4" dxfId="3">
      <formula>$L5="Done"</formula>
    </cfRule>
  </conditionalFormatting>
  <dataValidations count="3">
    <dataValidation sqref="L5:L24" showDropDown="0" showInputMessage="0" showErrorMessage="0" allowBlank="1" type="list">
      <formula1>"Not started,In progress,Done,Won't fix"</formula1>
    </dataValidation>
    <dataValidation sqref="C5:C24" showDropDown="0" showInputMessage="0" showErrorMessage="0" allowBlank="0" type="list">
      <formula1>"Critical,Important,Nice-to-have"</formula1>
    </dataValidation>
    <dataValidation sqref="H5:I24" showDropDown="0" showInputMessage="0" showErrorMessage="0" allowBlank="0" type="list">
      <formula1>"Low,Medium,High"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80" customWidth="1" min="2" max="2"/>
    <col width="12" customWidth="1" min="3" max="3"/>
    <col width="14" customWidth="1" min="4" max="4"/>
    <col width="20" customWidth="1" min="5" max="5"/>
  </cols>
  <sheetData>
    <row r="1">
      <c r="A1" s="19" t="inlineStr">
        <is>
          <t>Quick Wins – do these first</t>
        </is>
      </c>
    </row>
    <row r="3">
      <c r="A3" s="21" t="inlineStr">
        <is>
          <t>#</t>
        </is>
      </c>
      <c r="B3" s="21" t="inlineStr">
        <is>
          <t>Action</t>
        </is>
      </c>
      <c r="C3" s="21" t="inlineStr">
        <is>
          <t>Tracker ID</t>
        </is>
      </c>
      <c r="D3" s="21" t="inlineStr">
        <is>
          <t>Est. effort</t>
        </is>
      </c>
      <c r="E3" s="21" t="inlineStr">
        <is>
          <t>Status (from tracker)</t>
        </is>
      </c>
    </row>
    <row r="4">
      <c r="A4" s="22" t="n">
        <v>1</v>
      </c>
      <c r="B4" s="22" t="inlineStr">
        <is>
          <t>Point the CSAT widget's 'Powered by Crewhu' link to www.crewhu.com with a brand anchor; 301 web.crewhu.com root if unused</t>
        </is>
      </c>
      <c r="C4" s="22" t="inlineStr">
        <is>
          <t>SEO-02</t>
        </is>
      </c>
      <c r="D4" s="22" t="inlineStr">
        <is>
          <t>Dev: ~1 day</t>
        </is>
      </c>
      <c r="E4" s="25">
        <f>IFERROR(INDEX('Action Tracker'!$L$5:$L$24,MATCH("SEO-02",'Action Tracker'!$A$5:$A$24,0)),"")</f>
        <v/>
      </c>
    </row>
    <row r="5">
      <c r="A5" s="22" t="n">
        <v>2</v>
      </c>
      <c r="B5" s="22" t="inlineStr">
        <is>
          <t>Verify single-hop 301s for http / non-www → https://www; noindex author archives, iam.crewhu.com and campaign trial pages</t>
        </is>
      </c>
      <c r="C5" s="22" t="inlineStr">
        <is>
          <t>SEO-06</t>
        </is>
      </c>
      <c r="D5" s="22" t="inlineStr">
        <is>
          <t>~2 hrs</t>
        </is>
      </c>
      <c r="E5" s="25">
        <f>IFERROR(INDEX('Action Tracker'!$L$5:$L$24,MATCH("SEO-06",'Action Tracker'!$A$5:$A$24,0)),"")</f>
        <v/>
      </c>
    </row>
    <row r="6">
      <c r="A6" s="22" t="n">
        <v>3</v>
      </c>
      <c r="B6" s="22" t="inlineStr">
        <is>
          <t>Rewrite generic titles &amp; meta descriptions (see 'Title &amp; Meta Rewrites')</t>
        </is>
      </c>
      <c r="C6" s="22" t="inlineStr">
        <is>
          <t>SEO-03</t>
        </is>
      </c>
      <c r="D6" s="22" t="inlineStr">
        <is>
          <t>~1-2 hrs</t>
        </is>
      </c>
      <c r="E6" s="25">
        <f>IFERROR(INDEX('Action Tracker'!$L$5:$L$24,MATCH("SEO-03",'Action Tracker'!$A$5:$A$24,0)),"")</f>
        <v/>
      </c>
    </row>
    <row r="7">
      <c r="A7" s="22" t="n">
        <v>4</v>
      </c>
      <c r="B7" s="22" t="inlineStr">
        <is>
          <t>Refresh /blog/csat-software-for-msps (#4 'csat software'), /blog/employee-recognition-software (#20, 1,900/mo) and the customer-care post (#9-13, ≈3.8K/mo combined)</t>
        </is>
      </c>
      <c r="C7" s="22" t="inlineStr">
        <is>
          <t>SEO-08</t>
        </is>
      </c>
      <c r="D7" s="22" t="inlineStr">
        <is>
          <t>~3 days</t>
        </is>
      </c>
      <c r="E7" s="25">
        <f>IFERROR(INDEX('Action Tracker'!$L$5:$L$24,MATCH("SEO-08",'Action Tracker'!$A$5:$A$24,0)),"")</f>
        <v/>
      </c>
    </row>
    <row r="8">
      <c r="A8" s="22" t="n">
        <v>5</v>
      </c>
      <c r="B8" s="22" t="inlineStr">
        <is>
          <t>Add product CTAs + internal links to the top 5 traffic blog posts</t>
        </is>
      </c>
      <c r="C8" s="22" t="inlineStr">
        <is>
          <t>SEO-09</t>
        </is>
      </c>
      <c r="D8" s="22" t="inlineStr">
        <is>
          <t>~3 hrs</t>
        </is>
      </c>
      <c r="E8" s="25">
        <f>IFERROR(INDEX('Action Tracker'!$L$5:$L$24,MATCH("SEO-09",'Action Tracker'!$A$5:$A$24,0)),"")</f>
        <v/>
      </c>
    </row>
  </sheetData>
  <autoFilter ref="A3:E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60" customWidth="1" min="3" max="3"/>
  </cols>
  <sheetData>
    <row r="1">
      <c r="A1" s="19" t="inlineStr">
        <is>
          <t>Semrush Snapshot – crewhu.com (US desktop, 1 Oct 2026)</t>
        </is>
      </c>
    </row>
    <row r="2">
      <c r="A2" s="20" t="inlineStr">
        <is>
          <t>Source: Semrush Domain Overview / Organic Research (Positions, Pages), crewhu.com, US desktop, generated 1 Oct 2026 (supplied by client). Semrush traffic figures are estimates.</t>
        </is>
      </c>
    </row>
    <row r="4">
      <c r="A4" s="21" t="inlineStr">
        <is>
          <t>Metric</t>
        </is>
      </c>
      <c r="B4" s="21" t="inlineStr">
        <is>
          <t>Value</t>
        </is>
      </c>
      <c r="C4" s="21" t="inlineStr">
        <is>
          <t>Note</t>
        </is>
      </c>
    </row>
    <row r="5">
      <c r="A5" s="22" t="inlineStr">
        <is>
          <t>Organic keywords (top 100)</t>
        </is>
      </c>
      <c r="B5" s="26" t="n">
        <v>937</v>
      </c>
      <c r="C5" s="22" t="inlineStr">
        <is>
          <t>Peak ≈2,600 in mid-2023 (read from Semrush keywords chart)</t>
        </is>
      </c>
    </row>
    <row r="6">
      <c r="A6" s="22" t="inlineStr">
        <is>
          <t>Peak organic keywords (mid-2023, approx.)</t>
        </is>
      </c>
      <c r="B6" s="26" t="n">
        <v>2600</v>
      </c>
      <c r="C6" s="22" t="inlineStr">
        <is>
          <t>Approximate, read from chart</t>
        </is>
      </c>
    </row>
    <row r="7">
      <c r="A7" s="22" t="inlineStr">
        <is>
          <t>Est. organic traffic / month</t>
        </is>
      </c>
      <c r="B7" s="26" t="n">
        <v>1600</v>
      </c>
      <c r="C7" s="22" t="inlineStr"/>
    </row>
    <row r="8">
      <c r="A8" s="22" t="inlineStr">
        <is>
          <t>Organic traffic cost / month ($)</t>
        </is>
      </c>
      <c r="B8" s="27" t="n">
        <v>2400</v>
      </c>
      <c r="C8" s="22" t="inlineStr">
        <is>
          <t>No paid search activity</t>
        </is>
      </c>
    </row>
    <row r="9">
      <c r="A9" s="22" t="inlineStr">
        <is>
          <t>Branded traffic share</t>
        </is>
      </c>
      <c r="B9" s="28" t="n">
        <v>0.8119</v>
      </c>
      <c r="C9" s="22" t="inlineStr"/>
    </row>
    <row r="10">
      <c r="A10" s="22" t="inlineStr">
        <is>
          <t>Branded keywords</t>
        </is>
      </c>
      <c r="B10" s="26" t="n">
        <v>62</v>
      </c>
      <c r="C10" s="22" t="inlineStr"/>
    </row>
    <row r="11">
      <c r="A11" s="22" t="inlineStr">
        <is>
          <t>Backlinks</t>
        </is>
      </c>
      <c r="B11" s="26" t="n">
        <v>15200</v>
      </c>
      <c r="C11" s="22" t="inlineStr"/>
    </row>
    <row r="12">
      <c r="A12" s="22" t="inlineStr">
        <is>
          <t>Referring domains</t>
        </is>
      </c>
      <c r="B12" s="26" t="n">
        <v>1000</v>
      </c>
      <c r="C12" s="22" t="inlineStr"/>
    </row>
    <row r="13">
      <c r="A13" s="22" t="inlineStr">
        <is>
          <t>Follow backlinks</t>
        </is>
      </c>
      <c r="B13" s="26" t="n">
        <v>13100</v>
      </c>
      <c r="C13" s="22" t="inlineStr"/>
    </row>
    <row r="14">
      <c r="A14" s="22" t="inlineStr">
        <is>
          <t>Empty-anchor share of backlinks</t>
        </is>
      </c>
      <c r="B14" s="28" t="n">
        <v>0.6899999999999999</v>
      </c>
      <c r="C14" s="22" t="inlineStr"/>
    </row>
    <row r="15">
      <c r="A15" s="22" t="inlineStr">
        <is>
          <t>Backlinks to web.crewhu.com</t>
        </is>
      </c>
      <c r="B15" s="26" t="n">
        <v>4834</v>
      </c>
      <c r="C15" s="22" t="inlineStr">
        <is>
          <t>From 161 domains – widget links</t>
        </is>
      </c>
    </row>
    <row r="16">
      <c r="A16" s="22" t="inlineStr">
        <is>
          <t>Keywords in positions 1-3</t>
        </is>
      </c>
      <c r="B16" s="26" t="n">
        <v>19</v>
      </c>
      <c r="C16" s="22" t="inlineStr"/>
    </row>
    <row r="17">
      <c r="A17" s="22" t="inlineStr">
        <is>
          <t>Keywords in positions 4-10</t>
        </is>
      </c>
      <c r="B17" s="26" t="n">
        <v>108</v>
      </c>
      <c r="C17" s="22" t="inlineStr"/>
    </row>
    <row r="18">
      <c r="A18" s="22" t="inlineStr">
        <is>
          <t>Keywords in positions 11-20</t>
        </is>
      </c>
      <c r="B18" s="26" t="n">
        <v>179</v>
      </c>
      <c r="C18" s="22" t="inlineStr">
        <is>
          <t>Striking distance</t>
        </is>
      </c>
    </row>
    <row r="19">
      <c r="A19" s="22" t="inlineStr">
        <is>
          <t>Keywords in positions 21-30</t>
        </is>
      </c>
      <c r="B19" s="26" t="n">
        <v>165</v>
      </c>
      <c r="C19" s="22" t="inlineStr"/>
    </row>
    <row r="20">
      <c r="A20" s="22" t="inlineStr">
        <is>
          <t>Keywords in positions 31-40</t>
        </is>
      </c>
      <c r="B20" s="26" t="n">
        <v>122</v>
      </c>
      <c r="C20" s="22" t="inlineStr"/>
    </row>
    <row r="21">
      <c r="A21" s="22" t="inlineStr">
        <is>
          <t>Keywords in positions 41-50</t>
        </is>
      </c>
      <c r="B21" s="26" t="n">
        <v>90</v>
      </c>
      <c r="C21" s="22" t="inlineStr"/>
    </row>
    <row r="22">
      <c r="A22" s="22" t="inlineStr">
        <is>
          <t>Keywords in positions 51-100</t>
        </is>
      </c>
      <c r="B22" s="26" t="n">
        <v>181</v>
      </c>
      <c r="C22" s="22" t="inlineStr"/>
    </row>
    <row r="23">
      <c r="A23" s="22" t="inlineStr">
        <is>
          <t>Commercial-intent keywords</t>
        </is>
      </c>
      <c r="B23" s="26" t="n">
        <v>90</v>
      </c>
      <c r="C23" s="22" t="inlineStr"/>
    </row>
    <row r="24">
      <c r="A24" s="22" t="inlineStr">
        <is>
          <t>Est. visits from commercial keywords</t>
        </is>
      </c>
      <c r="B24" s="26" t="n">
        <v>36</v>
      </c>
      <c r="C24" s="22" t="inlineStr"/>
    </row>
    <row r="26">
      <c r="A26" s="5" t="inlineStr">
        <is>
          <t>Derived metrics</t>
        </is>
      </c>
    </row>
    <row r="27">
      <c r="A27" s="6" t="inlineStr">
        <is>
          <t>Keyword decline from peak</t>
        </is>
      </c>
      <c r="B27" s="29">
        <f>1-B5/B6</f>
        <v/>
      </c>
    </row>
    <row r="28">
      <c r="A28" s="6" t="inlineStr">
        <is>
          <t>Est. non-branded visits / month</t>
        </is>
      </c>
      <c r="B28" s="30">
        <f>B7*(1-B9)</f>
        <v/>
      </c>
    </row>
    <row r="29">
      <c r="A29" s="6" t="inlineStr">
        <is>
          <t>Share of top-100 keywords in top 10</t>
        </is>
      </c>
      <c r="B29" s="29">
        <f>(B16+B17)/SUM(B16:B22)</f>
        <v/>
      </c>
    </row>
    <row r="30">
      <c r="A30" s="6" t="inlineStr">
        <is>
          <t>Share of backlinks pointing to web.crewhu.com</t>
        </is>
      </c>
      <c r="B30" s="29">
        <f>B15/B11</f>
        <v/>
      </c>
    </row>
    <row r="31">
      <c r="A31" s="6" t="inlineStr">
        <is>
          <t>Commercial visits as share of all traffic</t>
        </is>
      </c>
      <c r="B31" s="29">
        <f>B24/B7</f>
        <v/>
      </c>
    </row>
    <row r="33">
      <c r="A33" s="20" t="inlineStr">
        <is>
          <t>Blue values are hardcoded inputs from the Semrush PDFs; black values are formulas.</t>
        </is>
      </c>
    </row>
  </sheetData>
  <autoFilter ref="A4:C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1" customWidth="1" min="3" max="3"/>
    <col width="10" customWidth="1" min="4" max="4"/>
    <col width="7" customWidth="1" min="5" max="5"/>
    <col width="9" customWidth="1" min="6" max="6"/>
    <col width="52" customWidth="1" min="7" max="7"/>
    <col width="13" customWidth="1" min="8" max="8"/>
    <col width="15" customWidth="1" min="9" max="9"/>
    <col width="18" customWidth="1" min="10" max="10"/>
  </cols>
  <sheetData>
    <row r="1">
      <c r="A1" s="19" t="inlineStr">
        <is>
          <t>Keyword Opportunities (Semrush positions)</t>
        </is>
      </c>
    </row>
    <row r="2">
      <c r="A2" s="20" t="inlineStr">
        <is>
          <t>Source: Semrush Domain Overview / Organic Research (Positions, Pages), crewhu.com, US desktop, generated 1 Oct 2026 (supplied by client). Semrush traffic figures are estimates.</t>
        </is>
      </c>
    </row>
    <row r="3">
      <c r="A3" s="2" t="inlineStr">
        <is>
          <t>Assumed CTR if moved to position 3:</t>
        </is>
      </c>
      <c r="C3" s="31" t="n">
        <v>0.1</v>
      </c>
      <c r="D3" s="20" t="inlineStr">
        <is>
          <t>Assumption (edit me) – industry average CTR for position 3 is roughly 8–11%.</t>
        </is>
      </c>
    </row>
    <row r="5">
      <c r="A5" s="21" t="inlineStr">
        <is>
          <t>Keyword</t>
        </is>
      </c>
      <c r="B5" s="21" t="inlineStr">
        <is>
          <t>Intent</t>
        </is>
      </c>
      <c r="C5" s="21" t="inlineStr">
        <is>
          <t>Current pos</t>
        </is>
      </c>
      <c r="D5" s="21" t="inlineStr">
        <is>
          <t>Volume</t>
        </is>
      </c>
      <c r="E5" s="21" t="inlineStr">
        <is>
          <t>KD</t>
        </is>
      </c>
      <c r="F5" s="21" t="inlineStr">
        <is>
          <t>CPC ($)</t>
        </is>
      </c>
      <c r="G5" s="21" t="inlineStr">
        <is>
          <t>Target URL</t>
        </is>
      </c>
      <c r="H5" s="21" t="inlineStr">
        <is>
          <t>Business relevance</t>
        </is>
      </c>
      <c r="I5" s="21" t="inlineStr">
        <is>
          <t>Est. visits at pos 3</t>
        </is>
      </c>
      <c r="J5" s="21" t="inlineStr">
        <is>
          <t>Est. value at pos 3 ($/mo)</t>
        </is>
      </c>
    </row>
    <row r="6">
      <c r="A6" s="22" t="inlineStr">
        <is>
          <t>employee recognition software</t>
        </is>
      </c>
      <c r="B6" s="22" t="inlineStr">
        <is>
          <t>C</t>
        </is>
      </c>
      <c r="C6" s="32" t="n">
        <v>20</v>
      </c>
      <c r="D6" s="26" t="n">
        <v>1900</v>
      </c>
      <c r="E6" s="32" t="n">
        <v>46</v>
      </c>
      <c r="F6" s="33" t="n">
        <v>44.89</v>
      </c>
      <c r="G6" s="22" t="inlineStr">
        <is>
          <t>/blog/employee-recognition-software + new /employee-recognition</t>
        </is>
      </c>
      <c r="H6" s="22" t="inlineStr">
        <is>
          <t>High</t>
        </is>
      </c>
      <c r="I6" s="22">
        <f>IF(C6&lt;=3,"Already top 3",ROUND(D6*$C$3,0))</f>
        <v/>
      </c>
      <c r="J6" s="34">
        <f>IF(ISNUMBER(I6),I6*F6,"")</f>
        <v/>
      </c>
    </row>
    <row r="7">
      <c r="A7" s="22" t="inlineStr">
        <is>
          <t>employee recognition programs</t>
        </is>
      </c>
      <c r="B7" s="22" t="inlineStr">
        <is>
          <t>I</t>
        </is>
      </c>
      <c r="C7" s="32" t="n">
        <v>41</v>
      </c>
      <c r="D7" s="26" t="n">
        <v>5400</v>
      </c>
      <c r="E7" s="32" t="n">
        <v>50</v>
      </c>
      <c r="F7" s="33" t="n">
        <v>35.39</v>
      </c>
      <c r="G7" s="22" t="inlineStr">
        <is>
          <t>Merged recognition-programs guide</t>
        </is>
      </c>
      <c r="H7" s="22" t="inlineStr">
        <is>
          <t>High</t>
        </is>
      </c>
      <c r="I7" s="22">
        <f>IF(C7&lt;=3,"Already top 3",ROUND(D7*$C$3,0))</f>
        <v/>
      </c>
      <c r="J7" s="34">
        <f>IF(ISNUMBER(I7),I7*F7,"")</f>
        <v/>
      </c>
    </row>
    <row r="8">
      <c r="A8" s="22" t="inlineStr">
        <is>
          <t>reward and recognition programme</t>
        </is>
      </c>
      <c r="B8" s="22" t="inlineStr">
        <is>
          <t>I</t>
        </is>
      </c>
      <c r="C8" s="32" t="n">
        <v>23</v>
      </c>
      <c r="D8" s="26" t="n">
        <v>720</v>
      </c>
      <c r="E8" s="32" t="n">
        <v>31</v>
      </c>
      <c r="F8" s="33" t="n">
        <v>43.53</v>
      </c>
      <c r="G8" s="22" t="inlineStr">
        <is>
          <t>Merged recognition-programs guide</t>
        </is>
      </c>
      <c r="H8" s="22" t="inlineStr">
        <is>
          <t>High</t>
        </is>
      </c>
      <c r="I8" s="22">
        <f>IF(C8&lt;=3,"Already top 3",ROUND(D8*$C$3,0))</f>
        <v/>
      </c>
      <c r="J8" s="34">
        <f>IF(ISNUMBER(I8),I8*F8,"")</f>
        <v/>
      </c>
    </row>
    <row r="9">
      <c r="A9" s="22" t="inlineStr">
        <is>
          <t>customer surveys</t>
        </is>
      </c>
      <c r="B9" s="22" t="inlineStr">
        <is>
          <t>I</t>
        </is>
      </c>
      <c r="C9" s="32" t="n">
        <v>15</v>
      </c>
      <c r="D9" s="26" t="n">
        <v>1000</v>
      </c>
      <c r="E9" s="32" t="n">
        <v>36</v>
      </c>
      <c r="F9" s="33" t="n">
        <v>14.76</v>
      </c>
      <c r="G9" s="22" t="inlineStr">
        <is>
          <t>CSAT/surveys pillar</t>
        </is>
      </c>
      <c r="H9" s="22" t="inlineStr">
        <is>
          <t>High</t>
        </is>
      </c>
      <c r="I9" s="22">
        <f>IF(C9&lt;=3,"Already top 3",ROUND(D9*$C$3,0))</f>
        <v/>
      </c>
      <c r="J9" s="34">
        <f>IF(ISNUMBER(I9),I9*F9,"")</f>
        <v/>
      </c>
    </row>
    <row r="10">
      <c r="A10" s="22" t="inlineStr">
        <is>
          <t>csat software</t>
        </is>
      </c>
      <c r="B10" s="22" t="inlineStr">
        <is>
          <t>C, I</t>
        </is>
      </c>
      <c r="C10" s="32" t="n">
        <v>4</v>
      </c>
      <c r="D10" s="26" t="n">
        <v>260</v>
      </c>
      <c r="E10" s="32" t="n">
        <v>21</v>
      </c>
      <c r="F10" s="33" t="n">
        <v>17.4</v>
      </c>
      <c r="G10" s="22" t="inlineStr">
        <is>
          <t>/blog/csat-software-for-msps + /csat-surveys</t>
        </is>
      </c>
      <c r="H10" s="22" t="inlineStr">
        <is>
          <t>High</t>
        </is>
      </c>
      <c r="I10" s="22">
        <f>IF(C10&lt;=3,"Already top 3",ROUND(D10*$C$3,0))</f>
        <v/>
      </c>
      <c r="J10" s="34">
        <f>IF(ISNUMBER(I10),I10*F10,"")</f>
        <v/>
      </c>
    </row>
    <row r="11">
      <c r="A11" s="22" t="inlineStr">
        <is>
          <t>reputation management program</t>
        </is>
      </c>
      <c r="B11" s="22" t="inlineStr">
        <is>
          <t>I</t>
        </is>
      </c>
      <c r="C11" s="32" t="n">
        <v>7</v>
      </c>
      <c r="D11" s="26" t="n">
        <v>320</v>
      </c>
      <c r="E11" s="32" t="n">
        <v>43</v>
      </c>
      <c r="F11" s="33" t="n">
        <v>41.48</v>
      </c>
      <c r="G11" s="22" t="inlineStr">
        <is>
          <t>Merged reviews guide</t>
        </is>
      </c>
      <c r="H11" s="22" t="inlineStr">
        <is>
          <t>High</t>
        </is>
      </c>
      <c r="I11" s="22">
        <f>IF(C11&lt;=3,"Already top 3",ROUND(D11*$C$3,0))</f>
        <v/>
      </c>
      <c r="J11" s="34">
        <f>IF(ISNUMBER(I11),I11*F11,"")</f>
        <v/>
      </c>
    </row>
    <row r="12">
      <c r="A12" s="22" t="inlineStr">
        <is>
          <t>employee points reward system</t>
        </is>
      </c>
      <c r="B12" s="22" t="inlineStr">
        <is>
          <t>C, I</t>
        </is>
      </c>
      <c r="C12" s="32" t="n">
        <v>9</v>
      </c>
      <c r="D12" s="26" t="n">
        <v>140</v>
      </c>
      <c r="E12" s="32" t="n">
        <v>24</v>
      </c>
      <c r="F12" s="33" t="n">
        <v>41.53</v>
      </c>
      <c r="G12" s="22" t="inlineStr">
        <is>
          <t>Points-system post + product page</t>
        </is>
      </c>
      <c r="H12" s="22" t="inlineStr">
        <is>
          <t>High</t>
        </is>
      </c>
      <c r="I12" s="22">
        <f>IF(C12&lt;=3,"Already top 3",ROUND(D12*$C$3,0))</f>
        <v/>
      </c>
      <c r="J12" s="34">
        <f>IF(ISNUMBER(I12),I12*F12,"")</f>
        <v/>
      </c>
    </row>
    <row r="13">
      <c r="A13" s="22" t="inlineStr">
        <is>
          <t>recognition and rewards</t>
        </is>
      </c>
      <c r="B13" s="22" t="inlineStr">
        <is>
          <t>I</t>
        </is>
      </c>
      <c r="C13" s="32" t="n">
        <v>8</v>
      </c>
      <c r="D13" s="26" t="n">
        <v>110</v>
      </c>
      <c r="E13" s="32" t="n">
        <v>13</v>
      </c>
      <c r="F13" s="33" t="n">
        <v>23.76</v>
      </c>
      <c r="G13" s="22" t="inlineStr">
        <is>
          <t>Recognition-programs guide</t>
        </is>
      </c>
      <c r="H13" s="22" t="inlineStr">
        <is>
          <t>Medium</t>
        </is>
      </c>
      <c r="I13" s="22">
        <f>IF(C13&lt;=3,"Already top 3",ROUND(D13*$C$3,0))</f>
        <v/>
      </c>
      <c r="J13" s="34">
        <f>IF(ISNUMBER(I13),I13*F13,"")</f>
        <v/>
      </c>
    </row>
    <row r="14">
      <c r="A14" s="22" t="inlineStr">
        <is>
          <t>what is the customer care</t>
        </is>
      </c>
      <c r="B14" s="22" t="inlineStr">
        <is>
          <t>I</t>
        </is>
      </c>
      <c r="C14" s="32" t="n">
        <v>11</v>
      </c>
      <c r="D14" s="26" t="n">
        <v>1900</v>
      </c>
      <c r="E14" s="32" t="n">
        <v>42</v>
      </c>
      <c r="F14" s="33" t="n">
        <v>1.1</v>
      </c>
      <c r="G14" s="22" t="inlineStr">
        <is>
          <t>/blog/understanding-customer-service-and-customer-care</t>
        </is>
      </c>
      <c r="H14" s="22" t="inlineStr">
        <is>
          <t>Medium</t>
        </is>
      </c>
      <c r="I14" s="22">
        <f>IF(C14&lt;=3,"Already top 3",ROUND(D14*$C$3,0))</f>
        <v/>
      </c>
      <c r="J14" s="34">
        <f>IF(ISNUMBER(I14),I14*F14,"")</f>
        <v/>
      </c>
    </row>
    <row r="15">
      <c r="A15" s="22" t="inlineStr">
        <is>
          <t>and customer care</t>
        </is>
      </c>
      <c r="B15" s="22" t="inlineStr">
        <is>
          <t>I</t>
        </is>
      </c>
      <c r="C15" s="32" t="n">
        <v>9</v>
      </c>
      <c r="D15" s="26" t="n">
        <v>1000</v>
      </c>
      <c r="E15" s="32" t="n">
        <v>37</v>
      </c>
      <c r="F15" s="33" t="n">
        <v>4.47</v>
      </c>
      <c r="G15" s="22" t="inlineStr">
        <is>
          <t>/blog/understanding-customer-service-and-customer-care</t>
        </is>
      </c>
      <c r="H15" s="22" t="inlineStr">
        <is>
          <t>Medium</t>
        </is>
      </c>
      <c r="I15" s="22">
        <f>IF(C15&lt;=3,"Already top 3",ROUND(D15*$C$3,0))</f>
        <v/>
      </c>
      <c r="J15" s="34">
        <f>IF(ISNUMBER(I15),I15*F15,"")</f>
        <v/>
      </c>
    </row>
    <row r="16">
      <c r="A16" s="22" t="inlineStr">
        <is>
          <t>customer care and</t>
        </is>
      </c>
      <c r="B16" s="22" t="inlineStr">
        <is>
          <t>I</t>
        </is>
      </c>
      <c r="C16" s="32" t="n">
        <v>13</v>
      </c>
      <c r="D16" s="26" t="n">
        <v>880</v>
      </c>
      <c r="E16" s="32" t="n">
        <v>41</v>
      </c>
      <c r="F16" s="33" t="n">
        <v>4.21</v>
      </c>
      <c r="G16" s="22" t="inlineStr">
        <is>
          <t>/blog/understanding-customer-service-and-customer-care</t>
        </is>
      </c>
      <c r="H16" s="22" t="inlineStr">
        <is>
          <t>Medium</t>
        </is>
      </c>
      <c r="I16" s="22">
        <f>IF(C16&lt;=3,"Already top 3",ROUND(D16*$C$3,0))</f>
        <v/>
      </c>
      <c r="J16" s="34">
        <f>IF(ISNUMBER(I16),I16*F16,"")</f>
        <v/>
      </c>
    </row>
    <row r="17">
      <c r="A17" s="22" t="inlineStr">
        <is>
          <t>importance of customer service</t>
        </is>
      </c>
      <c r="B17" s="22" t="inlineStr">
        <is>
          <t>I</t>
        </is>
      </c>
      <c r="C17" s="32" t="n">
        <v>11</v>
      </c>
      <c r="D17" s="26" t="n">
        <v>390</v>
      </c>
      <c r="E17" s="32" t="n">
        <v>40</v>
      </c>
      <c r="F17" s="33" t="n">
        <v>2.27</v>
      </c>
      <c r="G17" s="22" t="inlineStr">
        <is>
          <t>/blog/importance-of-customer-service</t>
        </is>
      </c>
      <c r="H17" s="22" t="inlineStr">
        <is>
          <t>Medium</t>
        </is>
      </c>
      <c r="I17" s="22">
        <f>IF(C17&lt;=3,"Already top 3",ROUND(D17*$C$3,0))</f>
        <v/>
      </c>
      <c r="J17" s="34">
        <f>IF(ISNUMBER(I17),I17*F17,"")</f>
        <v/>
      </c>
    </row>
    <row r="18">
      <c r="A18" s="22" t="inlineStr">
        <is>
          <t>competitive benchmarking</t>
        </is>
      </c>
      <c r="B18" s="22" t="inlineStr">
        <is>
          <t>I</t>
        </is>
      </c>
      <c r="C18" s="32" t="n">
        <v>18</v>
      </c>
      <c r="D18" s="26" t="n">
        <v>1300</v>
      </c>
      <c r="E18" s="32" t="n">
        <v>41</v>
      </c>
      <c r="F18" s="33" t="n">
        <v>10.05</v>
      </c>
      <c r="G18" s="22" t="inlineStr">
        <is>
          <t>/blog/what-is-competitive-benchmarking</t>
        </is>
      </c>
      <c r="H18" s="22" t="inlineStr">
        <is>
          <t>Low</t>
        </is>
      </c>
      <c r="I18" s="22">
        <f>IF(C18&lt;=3,"Already top 3",ROUND(D18*$C$3,0))</f>
        <v/>
      </c>
      <c r="J18" s="34">
        <f>IF(ISNUMBER(I18),I18*F18,"")</f>
        <v/>
      </c>
    </row>
    <row r="19">
      <c r="A19" s="22" t="inlineStr">
        <is>
          <t>benchmarking competitors</t>
        </is>
      </c>
      <c r="B19" s="22" t="inlineStr">
        <is>
          <t>I</t>
        </is>
      </c>
      <c r="C19" s="32" t="n">
        <v>33</v>
      </c>
      <c r="D19" s="26" t="n">
        <v>1600</v>
      </c>
      <c r="E19" s="32" t="n">
        <v>24</v>
      </c>
      <c r="F19" s="33" t="n">
        <v>10.05</v>
      </c>
      <c r="G19" s="22" t="inlineStr">
        <is>
          <t>/blog/what-is-competitive-benchmarking</t>
        </is>
      </c>
      <c r="H19" s="22" t="inlineStr">
        <is>
          <t>Low</t>
        </is>
      </c>
      <c r="I19" s="22">
        <f>IF(C19&lt;=3,"Already top 3",ROUND(D19*$C$3,0))</f>
        <v/>
      </c>
      <c r="J19" s="34">
        <f>IF(ISNUMBER(I19),I19*F19,"")</f>
        <v/>
      </c>
    </row>
    <row r="20">
      <c r="A20" s="22" t="inlineStr">
        <is>
          <t>types of benchmarking</t>
        </is>
      </c>
      <c r="B20" s="22" t="inlineStr">
        <is>
          <t>I</t>
        </is>
      </c>
      <c r="C20" s="32" t="n">
        <v>12</v>
      </c>
      <c r="D20" s="26" t="n">
        <v>390</v>
      </c>
      <c r="E20" s="32" t="n">
        <v>33</v>
      </c>
      <c r="F20" s="33" t="n">
        <v>0</v>
      </c>
      <c r="G20" s="22" t="inlineStr">
        <is>
          <t>/blog/6-types-of-benchmarking-your-business-should-use</t>
        </is>
      </c>
      <c r="H20" s="22" t="inlineStr">
        <is>
          <t>Low</t>
        </is>
      </c>
      <c r="I20" s="22">
        <f>IF(C20&lt;=3,"Already top 3",ROUND(D20*$C$3,0))</f>
        <v/>
      </c>
      <c r="J20" s="34">
        <f>IF(ISNUMBER(I20),I20*F20,"")</f>
        <v/>
      </c>
    </row>
    <row r="21">
      <c r="A21" s="22" t="inlineStr">
        <is>
          <t>daily huddle</t>
        </is>
      </c>
      <c r="B21" s="22" t="inlineStr">
        <is>
          <t>I</t>
        </is>
      </c>
      <c r="C21" s="32" t="n">
        <v>11</v>
      </c>
      <c r="D21" s="26" t="n">
        <v>390</v>
      </c>
      <c r="E21" s="32" t="n">
        <v>16</v>
      </c>
      <c r="F21" s="33" t="n">
        <v>8.890000000000001</v>
      </c>
      <c r="G21" s="22" t="inlineStr">
        <is>
          <t>/blog/the-daily-huddle-...</t>
        </is>
      </c>
      <c r="H21" s="22" t="inlineStr">
        <is>
          <t>Low</t>
        </is>
      </c>
      <c r="I21" s="22">
        <f>IF(C21&lt;=3,"Already top 3",ROUND(D21*$C$3,0))</f>
        <v/>
      </c>
      <c r="J21" s="34">
        <f>IF(ISNUMBER(I21),I21*F21,"")</f>
        <v/>
      </c>
    </row>
    <row r="22">
      <c r="A22" s="22" t="inlineStr">
        <is>
          <t>empower employees</t>
        </is>
      </c>
      <c r="B22" s="22" t="inlineStr">
        <is>
          <t>I</t>
        </is>
      </c>
      <c r="C22" s="32" t="n">
        <v>11</v>
      </c>
      <c r="D22" s="26" t="n">
        <v>320</v>
      </c>
      <c r="E22" s="32" t="n">
        <v>34</v>
      </c>
      <c r="F22" s="33" t="n">
        <v>3.02</v>
      </c>
      <c r="G22" s="22" t="inlineStr">
        <is>
          <t>/blog/5-ways-to-empower-employees</t>
        </is>
      </c>
      <c r="H22" s="22" t="inlineStr">
        <is>
          <t>Low</t>
        </is>
      </c>
      <c r="I22" s="22">
        <f>IF(C22&lt;=3,"Already top 3",ROUND(D22*$C$3,0))</f>
        <v/>
      </c>
      <c r="J22" s="34">
        <f>IF(ISNUMBER(I22),I22*F22,"")</f>
        <v/>
      </c>
    </row>
    <row r="23">
      <c r="A23" s="22" t="inlineStr">
        <is>
          <t>employee retention services</t>
        </is>
      </c>
      <c r="B23" s="22" t="inlineStr">
        <is>
          <t>I</t>
        </is>
      </c>
      <c r="C23" s="32" t="n">
        <v>12</v>
      </c>
      <c r="D23" s="26" t="n">
        <v>260</v>
      </c>
      <c r="E23" s="32" t="n">
        <v>8</v>
      </c>
      <c r="F23" s="33" t="n">
        <v>0</v>
      </c>
      <c r="G23" s="22" t="inlineStr">
        <is>
          <t>Retention solution page</t>
        </is>
      </c>
      <c r="H23" s="22" t="inlineStr">
        <is>
          <t>Medium</t>
        </is>
      </c>
      <c r="I23" s="22">
        <f>IF(C23&lt;=3,"Already top 3",ROUND(D23*$C$3,0))</f>
        <v/>
      </c>
      <c r="J23" s="34">
        <f>IF(ISNUMBER(I23),I23*F23,"")</f>
        <v/>
      </c>
    </row>
    <row r="24">
      <c r="A24" s="22" t="inlineStr">
        <is>
          <t>msp sales</t>
        </is>
      </c>
      <c r="B24" s="22" t="inlineStr">
        <is>
          <t>I</t>
        </is>
      </c>
      <c r="C24" s="32" t="n">
        <v>8</v>
      </c>
      <c r="D24" s="26" t="n">
        <v>390</v>
      </c>
      <c r="E24" s="32" t="n">
        <v>15</v>
      </c>
      <c r="F24" s="33" t="n">
        <v>15.54</v>
      </c>
      <c r="G24" s="22" t="inlineStr">
        <is>
          <t>/blog/msp-sales-strategy-for-growth</t>
        </is>
      </c>
      <c r="H24" s="22" t="inlineStr">
        <is>
          <t>Medium</t>
        </is>
      </c>
      <c r="I24" s="22">
        <f>IF(C24&lt;=3,"Already top 3",ROUND(D24*$C$3,0))</f>
        <v/>
      </c>
      <c r="J24" s="34">
        <f>IF(ISNUMBER(I24),I24*F24,"")</f>
        <v/>
      </c>
    </row>
    <row r="25">
      <c r="A25" s="22" t="inlineStr">
        <is>
          <t>how does the point system work</t>
        </is>
      </c>
      <c r="B25" s="22" t="inlineStr">
        <is>
          <t>I</t>
        </is>
      </c>
      <c r="C25" s="32" t="n">
        <v>5</v>
      </c>
      <c r="D25" s="26" t="n">
        <v>210</v>
      </c>
      <c r="E25" s="32" t="n">
        <v>5</v>
      </c>
      <c r="F25" s="33" t="n">
        <v>0</v>
      </c>
      <c r="G25" s="22" t="inlineStr">
        <is>
          <t>/blog/how-to-start-a-points-system</t>
        </is>
      </c>
      <c r="H25" s="22" t="inlineStr">
        <is>
          <t>Medium</t>
        </is>
      </c>
      <c r="I25" s="22">
        <f>IF(C25&lt;=3,"Already top 3",ROUND(D25*$C$3,0))</f>
        <v/>
      </c>
      <c r="J25" s="34">
        <f>IF(ISNUMBER(I25),I25*F25,"")</f>
        <v/>
      </c>
    </row>
    <row r="26">
      <c r="A26" s="22" t="inlineStr">
        <is>
          <t>testimonial request</t>
        </is>
      </c>
      <c r="B26" s="22" t="inlineStr">
        <is>
          <t>I</t>
        </is>
      </c>
      <c r="C26" s="32" t="n">
        <v>8</v>
      </c>
      <c r="D26" s="26" t="n">
        <v>140</v>
      </c>
      <c r="E26" s="32" t="n">
        <v>18</v>
      </c>
      <c r="F26" s="33" t="n">
        <v>0</v>
      </c>
      <c r="G26" s="22" t="inlineStr">
        <is>
          <t>/blog/strategies-to-gather-client-testimonials</t>
        </is>
      </c>
      <c r="H26" s="22" t="inlineStr">
        <is>
          <t>Medium</t>
        </is>
      </c>
      <c r="I26" s="22">
        <f>IF(C26&lt;=3,"Already top 3",ROUND(D26*$C$3,0))</f>
        <v/>
      </c>
      <c r="J26" s="34">
        <f>IF(ISNUMBER(I26),I26*F26,"")</f>
        <v/>
      </c>
    </row>
    <row r="27">
      <c r="A27" s="22" t="inlineStr">
        <is>
          <t>quality review</t>
        </is>
      </c>
      <c r="B27" s="22" t="inlineStr">
        <is>
          <t>C</t>
        </is>
      </c>
      <c r="C27" s="32" t="n">
        <v>13</v>
      </c>
      <c r="D27" s="26" t="n">
        <v>260</v>
      </c>
      <c r="E27" s="32" t="n">
        <v>15</v>
      </c>
      <c r="F27" s="33" t="n">
        <v>0</v>
      </c>
      <c r="G27" s="22" t="inlineStr">
        <is>
          <t>Reviews guide</t>
        </is>
      </c>
      <c r="H27" s="22" t="inlineStr">
        <is>
          <t>Low</t>
        </is>
      </c>
      <c r="I27" s="22">
        <f>IF(C27&lt;=3,"Already top 3",ROUND(D27*$C$3,0))</f>
        <v/>
      </c>
      <c r="J27" s="34">
        <f>IF(ISNUMBER(I27),I27*F27,"")</f>
        <v/>
      </c>
    </row>
    <row r="28">
      <c r="A28" s="22" t="inlineStr">
        <is>
          <t>client acquisition meaning</t>
        </is>
      </c>
      <c r="B28" s="22" t="inlineStr">
        <is>
          <t>I</t>
        </is>
      </c>
      <c r="C28" s="32" t="n">
        <v>12</v>
      </c>
      <c r="D28" s="26" t="n">
        <v>390</v>
      </c>
      <c r="E28" s="32" t="n">
        <v>34</v>
      </c>
      <c r="F28" s="33" t="n">
        <v>9.390000000000001</v>
      </c>
      <c r="G28" s="22" t="inlineStr">
        <is>
          <t>/blog/client-acquisition-strategies</t>
        </is>
      </c>
      <c r="H28" s="22" t="inlineStr">
        <is>
          <t>Low</t>
        </is>
      </c>
      <c r="I28" s="22">
        <f>IF(C28&lt;=3,"Already top 3",ROUND(D28*$C$3,0))</f>
        <v/>
      </c>
      <c r="J28" s="34">
        <f>IF(ISNUMBER(I28),I28*F28,"")</f>
        <v/>
      </c>
    </row>
    <row r="29">
      <c r="A29" s="2" t="inlineStr">
        <is>
          <t>Total</t>
        </is>
      </c>
      <c r="D29" s="35">
        <f>SUM(D6:D28)</f>
        <v/>
      </c>
      <c r="I29" s="35">
        <f>SUM(I6:I28)</f>
        <v/>
      </c>
      <c r="J29" s="36">
        <f>SUM(J6:J28)</f>
        <v/>
      </c>
    </row>
    <row r="31">
      <c r="A31" s="20" t="inlineStr">
        <is>
          <t>Est. value = visits × CPC (what that traffic would cost in Google Ads). Prioritise 'High' business-relevance rows; informational rows build reach, not pipeline.</t>
        </is>
      </c>
    </row>
  </sheetData>
  <autoFilter ref="A5:J28"/>
  <conditionalFormatting sqref="H6:H28">
    <cfRule type="cellIs" priority="1" operator="equal" dxfId="2">
      <formula>"High"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8" customWidth="1" min="1" max="1"/>
    <col width="12" customWidth="1" min="2" max="2"/>
    <col width="10" customWidth="1" min="3" max="3"/>
    <col width="18" customWidth="1" min="4" max="4"/>
    <col width="58" customWidth="1" min="5" max="5"/>
    <col width="13" customWidth="1" min="6" max="6"/>
  </cols>
  <sheetData>
    <row r="1">
      <c r="A1" s="19" t="inlineStr">
        <is>
          <t>Top Organic Pages (Semrush)</t>
        </is>
      </c>
    </row>
    <row r="2">
      <c r="A2" s="20" t="inlineStr">
        <is>
          <t>Source: Semrush Domain Overview / Organic Research (Positions, Pages), crewhu.com, US desktop, generated 1 Oct 2026 (supplied by client). Semrush traffic figures are estimates.</t>
        </is>
      </c>
    </row>
    <row r="3">
      <c r="A3" s="2" t="inlineStr">
        <is>
          <t>Total est. organic visits/mo:</t>
        </is>
      </c>
      <c r="B3" s="37">
        <f>'Semrush Snapshot'!B7</f>
        <v/>
      </c>
    </row>
    <row r="5">
      <c r="A5" s="21" t="inlineStr">
        <is>
          <t>URL</t>
        </is>
      </c>
      <c r="B5" s="21" t="inlineStr">
        <is>
          <t>Traffic share</t>
        </is>
      </c>
      <c r="C5" s="21" t="inlineStr">
        <is>
          <t>Keywords</t>
        </is>
      </c>
      <c r="D5" s="21" t="inlineStr">
        <is>
          <t>Page type</t>
        </is>
      </c>
      <c r="E5" s="21" t="inlineStr">
        <is>
          <t>Action</t>
        </is>
      </c>
      <c r="F5" s="21" t="inlineStr">
        <is>
          <t>Est. visits/mo</t>
        </is>
      </c>
    </row>
    <row r="6">
      <c r="A6" s="22" t="inlineStr">
        <is>
          <t>https://www.crewhu.com/</t>
        </is>
      </c>
      <c r="B6" s="38" t="n">
        <v>0.5251</v>
      </c>
      <c r="C6" s="32" t="n">
        <v>46</v>
      </c>
      <c r="D6" s="22" t="inlineStr">
        <is>
          <t>Homepage</t>
        </is>
      </c>
      <c r="E6" s="22" t="inlineStr">
        <is>
          <t>Keep; test CSAT-first title</t>
        </is>
      </c>
      <c r="F6" s="22">
        <f>ROUND(B6*$B$3,0)</f>
        <v/>
      </c>
    </row>
    <row r="7">
      <c r="A7" s="22" t="inlineStr">
        <is>
          <t>https://www.crewhu.com/products</t>
        </is>
      </c>
      <c r="B7" s="38" t="n">
        <v>0.1589</v>
      </c>
      <c r="C7" s="32" t="n">
        <v>2</v>
      </c>
      <c r="D7" s="22" t="inlineStr">
        <is>
          <t>Product</t>
        </is>
      </c>
      <c r="E7" s="22" t="inlineStr">
        <is>
          <t>Retitle; currently only ranks for 'crewhu store'</t>
        </is>
      </c>
      <c r="F7" s="22">
        <f>ROUND(B7*$B$3,0)</f>
        <v/>
      </c>
    </row>
    <row r="8">
      <c r="A8" s="22" t="inlineStr">
        <is>
          <t>https://web.crewhu.com/</t>
        </is>
      </c>
      <c r="B8" s="38" t="n">
        <v>0.08749999999999999</v>
      </c>
      <c r="C8" s="32" t="n">
        <v>35</v>
      </c>
      <c r="D8" s="22" t="inlineStr">
        <is>
          <t>Widget subdomain</t>
        </is>
      </c>
      <c r="E8" s="22" t="inlineStr">
        <is>
          <t>Redirect root / repoint widget links (SEO-02)</t>
        </is>
      </c>
      <c r="F8" s="22">
        <f>ROUND(B8*$B$3,0)</f>
        <v/>
      </c>
    </row>
    <row r="9">
      <c r="A9" s="22" t="inlineStr">
        <is>
          <t>https://www.crewhu.com/blog/how-to-start-a-points-system</t>
        </is>
      </c>
      <c r="B9" s="38" t="n">
        <v>0.0372</v>
      </c>
      <c r="C9" s="32" t="n">
        <v>39</v>
      </c>
      <c r="D9" s="22" t="inlineStr">
        <is>
          <t>Blog</t>
        </is>
      </c>
      <c r="E9" s="22" t="inlineStr">
        <is>
          <t>Add points/rewards product CTA; build matching product page</t>
        </is>
      </c>
      <c r="F9" s="22">
        <f>ROUND(B9*$B$3,0)</f>
        <v/>
      </c>
    </row>
    <row r="10">
      <c r="A10" s="22" t="inlineStr">
        <is>
          <t>http://crewhu.com/</t>
        </is>
      </c>
      <c r="B10" s="38" t="n">
        <v>0.0328</v>
      </c>
      <c r="C10" s="32" t="n">
        <v>3</v>
      </c>
      <c r="D10" s="22" t="inlineStr">
        <is>
          <t>Host duplicate</t>
        </is>
      </c>
      <c r="E10" s="22" t="inlineStr">
        <is>
          <t>Fix 301 to https://www (SEO-06)</t>
        </is>
      </c>
      <c r="F10" s="22">
        <f>ROUND(B10*$B$3,0)</f>
        <v/>
      </c>
    </row>
    <row r="11">
      <c r="A11" s="22" t="inlineStr">
        <is>
          <t>https://www.crewhu.com/blog/understanding-customer-service-and-customer-care</t>
        </is>
      </c>
      <c r="B11" s="38" t="n">
        <v>0.0217</v>
      </c>
      <c r="C11" s="32" t="n">
        <v>10</v>
      </c>
      <c r="D11" s="22" t="inlineStr">
        <is>
          <t>Blog</t>
        </is>
      </c>
      <c r="E11" s="22" t="inlineStr">
        <is>
          <t>Refresh for 'customer care' variants (#9-13)</t>
        </is>
      </c>
      <c r="F11" s="22">
        <f>ROUND(B11*$B$3,0)</f>
        <v/>
      </c>
    </row>
    <row r="12">
      <c r="A12" s="22" t="inlineStr">
        <is>
          <t>https://www.crewhu.com/blog/fostering-customer-loyalty-through-employee-loyalty</t>
        </is>
      </c>
      <c r="B12" s="38" t="n">
        <v>0.0155</v>
      </c>
      <c r="C12" s="32" t="n">
        <v>1</v>
      </c>
      <c r="D12" s="22" t="inlineStr">
        <is>
          <t>Blog</t>
        </is>
      </c>
      <c r="E12" s="22" t="inlineStr">
        <is>
          <t>Add CTA to recognition product</t>
        </is>
      </c>
      <c r="F12" s="22">
        <f>ROUND(B12*$B$3,0)</f>
        <v/>
      </c>
    </row>
    <row r="13">
      <c r="A13" s="22" t="inlineStr">
        <is>
          <t>https://www.crewhu.com/blog/3-all-star-recognition-awards-to-improve-your-bottom-line</t>
        </is>
      </c>
      <c r="B13" s="38" t="n">
        <v>0.0086</v>
      </c>
      <c r="C13" s="32" t="n">
        <v>3</v>
      </c>
      <c r="D13" s="22" t="inlineStr">
        <is>
          <t>Blog</t>
        </is>
      </c>
      <c r="E13" s="22" t="inlineStr">
        <is>
          <t>Merge into recognition-programs pillar</t>
        </is>
      </c>
      <c r="F13" s="22">
        <f>ROUND(B13*$B$3,0)</f>
        <v/>
      </c>
    </row>
    <row r="14">
      <c r="A14" s="22" t="inlineStr">
        <is>
          <t>https://www.crewhu.com/blog/strategies-to-gather-client-testimonials</t>
        </is>
      </c>
      <c r="B14" s="38" t="n">
        <v>0.0086</v>
      </c>
      <c r="C14" s="32" t="n">
        <v>62</v>
      </c>
      <c r="D14" s="22" t="inlineStr">
        <is>
          <t>Blog</t>
        </is>
      </c>
      <c r="E14" s="22" t="inlineStr">
        <is>
          <t>Keep; link to reviews/testimonial feed feature</t>
        </is>
      </c>
      <c r="F14" s="22">
        <f>ROUND(B14*$B$3,0)</f>
        <v/>
      </c>
    </row>
    <row r="15">
      <c r="A15" s="22" t="inlineStr">
        <is>
          <t>https://www.crewhu.com/blog/3-smart-goals-examples-to-improve-your-kpis</t>
        </is>
      </c>
      <c r="B15" s="38" t="n">
        <v>0.0074</v>
      </c>
      <c r="C15" s="32" t="n">
        <v>14</v>
      </c>
      <c r="D15" s="22" t="inlineStr">
        <is>
          <t>Blog</t>
        </is>
      </c>
      <c r="E15" s="22" t="inlineStr">
        <is>
          <t>Merge SMART-goals cluster here or into one pillar</t>
        </is>
      </c>
      <c r="F15" s="22">
        <f>ROUND(B15*$B$3,0)</f>
        <v/>
      </c>
    </row>
    <row r="16">
      <c r="A16" s="22" t="inlineStr">
        <is>
          <t>https://www.crewhu.com/case-study/author/adam-radulovic</t>
        </is>
      </c>
      <c r="B16" s="38" t="n">
        <v>0.0068</v>
      </c>
      <c r="C16" s="32" t="n">
        <v>4</v>
      </c>
      <c r="D16" s="22" t="inlineStr">
        <is>
          <t>Author archive</t>
        </is>
      </c>
      <c r="E16" s="22" t="inlineStr">
        <is>
          <t>Noindex (SEO-10)</t>
        </is>
      </c>
      <c r="F16" s="22">
        <f>ROUND(B16*$B$3,0)</f>
        <v/>
      </c>
    </row>
    <row r="17">
      <c r="A17" s="22" t="inlineStr">
        <is>
          <t>https://www.crewhu.com/blog/employee-recognition-software</t>
        </is>
      </c>
      <c r="B17" s="38" t="n">
        <v>0.0062</v>
      </c>
      <c r="C17" s="32" t="n">
        <v>26</v>
      </c>
      <c r="D17" s="22" t="inlineStr">
        <is>
          <t>Blog (commercial)</t>
        </is>
      </c>
      <c r="E17" s="22" t="inlineStr">
        <is>
          <t>Priority refresh – #20 for 'employee recognition software'</t>
        </is>
      </c>
      <c r="F17" s="22">
        <f>ROUND(B17*$B$3,0)</f>
        <v/>
      </c>
    </row>
    <row r="18">
      <c r="A18" s="22" t="inlineStr">
        <is>
          <t>https://www.crewhu.com/blog/6-types-of-employee-recognition-and-rewards-programs-that-really-work</t>
        </is>
      </c>
      <c r="B18" s="38" t="n">
        <v>0.0055</v>
      </c>
      <c r="C18" s="32" t="n">
        <v>83</v>
      </c>
      <c r="D18" s="22" t="inlineStr">
        <is>
          <t>Blog</t>
        </is>
      </c>
      <c r="E18" s="22" t="inlineStr">
        <is>
          <t>Pillar for recognition-programs cluster</t>
        </is>
      </c>
      <c r="F18" s="22">
        <f>ROUND(B18*$B$3,0)</f>
        <v/>
      </c>
    </row>
    <row r="19">
      <c r="A19" s="22" t="inlineStr">
        <is>
          <t>https://www.crewhu.com/blog/csat-software-for-msps</t>
        </is>
      </c>
      <c r="B19" s="38" t="n">
        <v>0.0055</v>
      </c>
      <c r="C19" s="32" t="n">
        <v>1</v>
      </c>
      <c r="D19" s="22" t="inlineStr">
        <is>
          <t>Blog (commercial)</t>
        </is>
      </c>
      <c r="E19" s="22" t="inlineStr">
        <is>
          <t>Priority refresh – #4 for 'csat software'</t>
        </is>
      </c>
      <c r="F19" s="22">
        <f>ROUND(B19*$B$3,0)</f>
        <v/>
      </c>
    </row>
    <row r="20">
      <c r="A20" s="22" t="inlineStr">
        <is>
          <t>https://www.crewhu.com/blog/msp-sales-strategy-for-growth</t>
        </is>
      </c>
      <c r="B20" s="38" t="n">
        <v>0.0049</v>
      </c>
      <c r="C20" s="32" t="n">
        <v>31</v>
      </c>
      <c r="D20" s="22" t="inlineStr">
        <is>
          <t>Blog</t>
        </is>
      </c>
      <c r="E20" s="22" t="inlineStr">
        <is>
          <t>Keep; MSP-relevant</t>
        </is>
      </c>
      <c r="F20" s="22">
        <f>ROUND(B20*$B$3,0)</f>
        <v/>
      </c>
    </row>
    <row r="21">
      <c r="A21" s="22" t="inlineStr">
        <is>
          <t>https://www.crewhu.com/blog/reputation-management-software</t>
        </is>
      </c>
      <c r="B21" s="38" t="n">
        <v>0.0043</v>
      </c>
      <c r="C21" s="32" t="n">
        <v>1</v>
      </c>
      <c r="D21" s="22" t="inlineStr">
        <is>
          <t>Blog (commercial)</t>
        </is>
      </c>
      <c r="E21" s="22" t="inlineStr">
        <is>
          <t>Pillar for reviews cluster</t>
        </is>
      </c>
      <c r="F21" s="22">
        <f>ROUND(B21*$B$3,0)</f>
        <v/>
      </c>
    </row>
    <row r="22">
      <c r="A22" s="22" t="inlineStr">
        <is>
          <t>https://www.crewhu.com/blog/how-to-launch-contests</t>
        </is>
      </c>
      <c r="B22" s="38" t="n">
        <v>0.0037</v>
      </c>
      <c r="C22" s="32" t="n">
        <v>7</v>
      </c>
      <c r="D22" s="22" t="inlineStr">
        <is>
          <t>Blog</t>
        </is>
      </c>
      <c r="E22" s="22" t="inlineStr">
        <is>
          <t>Link to /gamification</t>
        </is>
      </c>
      <c r="F22" s="22">
        <f>ROUND(B22*$B$3,0)</f>
        <v/>
      </c>
    </row>
    <row r="23">
      <c r="A23" s="22" t="inlineStr">
        <is>
          <t>https://www.crewhu.com/blog/top-6-reasons-to-implement-a-rewards-and-recognition-program</t>
        </is>
      </c>
      <c r="B23" s="38" t="n">
        <v>0.0031</v>
      </c>
      <c r="C23" s="32" t="n">
        <v>6</v>
      </c>
      <c r="D23" s="22" t="inlineStr">
        <is>
          <t>Blog</t>
        </is>
      </c>
      <c r="E23" s="22" t="inlineStr">
        <is>
          <t>Has 38 referring domains – keep, link to product</t>
        </is>
      </c>
      <c r="F23" s="22">
        <f>ROUND(B23*$B$3,0)</f>
        <v/>
      </c>
    </row>
    <row r="24">
      <c r="A24" s="22" t="inlineStr">
        <is>
          <t>https://www.crewhu.com/case-study/go2-tech</t>
        </is>
      </c>
      <c r="B24" s="38" t="n">
        <v>0.0024</v>
      </c>
      <c r="C24" s="32" t="n">
        <v>3</v>
      </c>
      <c r="D24" s="22" t="inlineStr">
        <is>
          <t>Case study</t>
        </is>
      </c>
      <c r="E24" s="22" t="inlineStr">
        <is>
          <t>Add to /customers hub</t>
        </is>
      </c>
      <c r="F24" s="22">
        <f>ROUND(B24*$B$3,0)</f>
        <v/>
      </c>
    </row>
    <row r="25">
      <c r="A25" s="22" t="inlineStr">
        <is>
          <t>https://www.crewhu.com/blog/improve-msp-ebitda</t>
        </is>
      </c>
      <c r="B25" s="38" t="n">
        <v>0.0024</v>
      </c>
      <c r="C25" s="32" t="n">
        <v>6</v>
      </c>
      <c r="D25" s="22" t="inlineStr">
        <is>
          <t>Blog</t>
        </is>
      </c>
      <c r="E25" s="22" t="inlineStr">
        <is>
          <t>EBITDA cluster pillar</t>
        </is>
      </c>
      <c r="F25" s="22">
        <f>ROUND(B25*$B$3,0)</f>
        <v/>
      </c>
    </row>
    <row r="27">
      <c r="A27" s="20" t="inlineStr">
        <is>
          <t>Semrush lists 175 pages with organic traffic; the top 20 are shown. Everything outside the top 7 receives &lt;1% of traffic each.</t>
        </is>
      </c>
    </row>
  </sheetData>
  <autoFilter ref="A5:F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4" customWidth="1" min="2" max="2"/>
    <col width="58" customWidth="1" min="3" max="3"/>
    <col width="70" customWidth="1" min="4" max="4"/>
    <col width="11" customWidth="1" min="5" max="5"/>
    <col width="11" customWidth="1" min="6" max="6"/>
  </cols>
  <sheetData>
    <row r="1">
      <c r="A1" s="21" t="inlineStr">
        <is>
          <t>URL</t>
        </is>
      </c>
      <c r="B1" s="21" t="inlineStr">
        <is>
          <t>Current title (as indexed)</t>
        </is>
      </c>
      <c r="C1" s="21" t="inlineStr">
        <is>
          <t>Proposed title</t>
        </is>
      </c>
      <c r="D1" s="21" t="inlineStr">
        <is>
          <t>Proposed meta description</t>
        </is>
      </c>
      <c r="E1" s="21" t="inlineStr">
        <is>
          <t>Title length</t>
        </is>
      </c>
      <c r="F1" s="21" t="inlineStr">
        <is>
          <t>Meta length</t>
        </is>
      </c>
    </row>
    <row r="2">
      <c r="A2" s="22" t="inlineStr">
        <is>
          <t>/products</t>
        </is>
      </c>
      <c r="B2" s="22" t="inlineStr">
        <is>
          <t>Products</t>
        </is>
      </c>
      <c r="C2" s="22" t="inlineStr">
        <is>
          <t>Crewhu Products: CSAT, Recognition &amp; Gamification for MSPs</t>
        </is>
      </c>
      <c r="D2" s="22" t="inlineStr">
        <is>
          <t>One platform for MSP client feedback and team engagement: one-click CSAT and NPS surveys, peer recognition, badges, rewards and PSA-powered contests.</t>
        </is>
      </c>
      <c r="E2" s="22">
        <f>LEN(C2)</f>
        <v/>
      </c>
      <c r="F2" s="22">
        <f>LEN(D2)</f>
        <v/>
      </c>
    </row>
    <row r="3">
      <c r="A3" s="22" t="inlineStr">
        <is>
          <t>/integrations</t>
        </is>
      </c>
      <c r="B3" s="22" t="inlineStr">
        <is>
          <t>Integrations</t>
        </is>
      </c>
      <c r="C3" s="22" t="inlineStr">
        <is>
          <t>Crewhu Integrations: ConnectWise, Autotask, HaloPSA &amp; More</t>
        </is>
      </c>
      <c r="D3" s="22" t="inlineStr">
        <is>
          <t>Connect Crewhu to ConnectWise, Autotask, HaloPSA, Syncro, Zendesk, Teams, Slack and BrightGauge. Surveys sync to tickets; wins reach your team.</t>
        </is>
      </c>
      <c r="E3" s="22">
        <f>LEN(C3)</f>
        <v/>
      </c>
      <c r="F3" s="22">
        <f>LEN(D3)</f>
        <v/>
      </c>
    </row>
    <row r="4">
      <c r="A4" s="22" t="inlineStr">
        <is>
          <t>/collect-customer-feedback</t>
        </is>
      </c>
      <c r="B4" s="22" t="inlineStr">
        <is>
          <t>Collect Customer Feedback</t>
        </is>
      </c>
      <c r="C4" s="22" t="inlineStr">
        <is>
          <t>CSAT &amp; NPS Survey Software for MSPs | Crewhu</t>
        </is>
      </c>
      <c r="D4" s="22" t="inlineStr">
        <is>
          <t>Send one-click CSAT surveys on every closed ticket and automated NPS surveys, then turn happy clients into Google reviews. Built for MSPs.</t>
        </is>
      </c>
      <c r="E4" s="22">
        <f>LEN(C4)</f>
        <v/>
      </c>
      <c r="F4" s="22">
        <f>LEN(D4)</f>
        <v/>
      </c>
    </row>
    <row r="5">
      <c r="A5" s="22" t="inlineStr">
        <is>
          <t>/gamify-your-metrics</t>
        </is>
      </c>
      <c r="B5" s="22" t="inlineStr">
        <is>
          <t>Gamify Your Metrics</t>
        </is>
      </c>
      <c r="C5" s="22" t="inlineStr">
        <is>
          <t>Help Desk Gamification &amp; Technician Leaderboards | Crewhu</t>
        </is>
      </c>
      <c r="D5" s="22" t="inlineStr">
        <is>
          <t>Run contests and leaderboards on real PSA KPIs (CSAT, closed tickets, time entries) to motivate MSP technicians.</t>
        </is>
      </c>
      <c r="E5" s="22">
        <f>LEN(C5)</f>
        <v/>
      </c>
      <c r="F5" s="22">
        <f>LEN(D5)</f>
        <v/>
      </c>
    </row>
    <row r="6">
      <c r="A6" s="22" t="inlineStr">
        <is>
          <t>/about-us</t>
        </is>
      </c>
      <c r="B6" s="22" t="inlineStr">
        <is>
          <t>About Us</t>
        </is>
      </c>
      <c r="C6" s="22" t="inlineStr">
        <is>
          <t>About Crewhu: Built by an MSP Veteran for MSPs</t>
        </is>
      </c>
      <c r="D6" s="22" t="inlineStr">
        <is>
          <t>Founded in 2013 by Stephen Spiegel, Crewhu helps MSPs delight clients and engage their teams with CSAT, recognition and gamification.</t>
        </is>
      </c>
      <c r="E6" s="22">
        <f>LEN(C6)</f>
        <v/>
      </c>
      <c r="F6" s="22">
        <f>LEN(D6)</f>
        <v/>
      </c>
    </row>
    <row r="7">
      <c r="A7" s="22" t="inlineStr">
        <is>
          <t>/pricing</t>
        </is>
      </c>
      <c r="B7" s="22" t="inlineStr">
        <is>
          <t>Pricing &amp; Plans: Employee Recognition Software</t>
        </is>
      </c>
      <c r="C7" s="22" t="inlineStr">
        <is>
          <t>Crewhu Pricing &amp; Plans: CSAT + Recognition for MSPs</t>
        </is>
      </c>
      <c r="D7" s="22" t="inlineStr">
        <is>
          <t>Compare Crewhu plans: Listen ($119/mo), Recognize ($239/mo) and Grow ($399/mo). Start a free 14-day trial, no credit card required.</t>
        </is>
      </c>
      <c r="E7" s="22">
        <f>LEN(C7)</f>
        <v/>
      </c>
      <c r="F7" s="22">
        <f>LEN(D7)</f>
        <v/>
      </c>
    </row>
    <row r="8">
      <c r="A8" s="22" t="inlineStr">
        <is>
          <t>/blog/employee-recognition-software</t>
        </is>
      </c>
      <c r="B8" s="22" t="inlineStr">
        <is>
          <t>Best Employee Recognition Software: 13 Platforms Compared for 2026</t>
        </is>
      </c>
      <c r="C8" s="22" t="inlineStr">
        <is>
          <t>Best Employee Recognition Software (2026): 13 Tools Compared</t>
        </is>
      </c>
      <c r="D8" s="22" t="inlineStr">
        <is>
          <t>Compare 13 employee recognition platforms on features, pricing and fit, including options built for MSPs and service teams.</t>
        </is>
      </c>
      <c r="E8" s="22">
        <f>LEN(C8)</f>
        <v/>
      </c>
      <c r="F8" s="22">
        <f>LEN(D8)</f>
        <v/>
      </c>
    </row>
    <row r="9">
      <c r="A9" s="22" t="inlineStr">
        <is>
          <t>/blog/csat-software-for-msps</t>
        </is>
      </c>
      <c r="B9" s="22" t="inlineStr">
        <is>
          <t>How to Choose CSAT Software for MSPs</t>
        </is>
      </c>
      <c r="C9" s="22" t="inlineStr">
        <is>
          <t>CSAT Software for MSPs: How to Choose (2026 Guide)</t>
        </is>
      </c>
      <c r="D9" s="22" t="inlineStr">
        <is>
          <t>What to look for in CSAT software for MSPs: one-click surveys, PSA write-back, technician credit, NPS and review generation.</t>
        </is>
      </c>
      <c r="E9" s="22">
        <f>LEN(C9)</f>
        <v/>
      </c>
      <c r="F9" s="22">
        <f>LEN(D9)</f>
        <v/>
      </c>
    </row>
    <row r="10">
      <c r="A10" s="22" t="inlineStr">
        <is>
          <t>/ask-ashley/ask-ashley-take-one</t>
        </is>
      </c>
      <c r="B10" s="22" t="inlineStr">
        <is>
          <t>Ask Ashley, Take One</t>
        </is>
      </c>
      <c r="C10" s="22" t="inlineStr">
        <is>
          <t>(Retitle after the question the post answers)</t>
        </is>
      </c>
      <c r="D10" s="22" t="inlineStr">
        <is>
          <t>(Write after retitling)</t>
        </is>
      </c>
      <c r="E10" s="22">
        <f>LEN(C10)</f>
        <v/>
      </c>
      <c r="F10" s="22">
        <f>LEN(D10)</f>
        <v/>
      </c>
    </row>
    <row r="12">
      <c r="A12" s="20" t="inlineStr">
        <is>
          <t>Yellow = over ~60 chars (title) / ~160 chars (meta). Current titles are as indexed by search engines – confirm against page source.</t>
        </is>
      </c>
    </row>
  </sheetData>
  <autoFilter ref="A1:F10"/>
  <conditionalFormatting sqref="E2:E10">
    <cfRule type="cellIs" priority="1" operator="greaterThan" dxfId="1">
      <formula>60</formula>
    </cfRule>
  </conditionalFormatting>
  <conditionalFormatting sqref="F2:F10">
    <cfRule type="cellIs" priority="2" operator="greaterThan" dxfId="1">
      <formula>160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52" customWidth="1" min="4" max="4"/>
    <col width="13" customWidth="1" min="5" max="5"/>
    <col width="12" customWidth="1" min="6" max="6"/>
    <col width="50" customWidth="1" min="7" max="7"/>
    <col width="14" customWidth="1" min="8" max="8"/>
    <col width="13" customWidth="1" min="9" max="9"/>
  </cols>
  <sheetData>
    <row r="1">
      <c r="A1" s="21" t="inlineStr">
        <is>
          <t>Group</t>
        </is>
      </c>
      <c r="B1" s="21" t="inlineStr">
        <is>
          <t>Type</t>
        </is>
      </c>
      <c r="C1" s="21" t="inlineStr">
        <is>
          <t>Proposed URL</t>
        </is>
      </c>
      <c r="D1" s="21" t="inlineStr">
        <is>
          <t>Target queries (Semrush pos / vol where known)</t>
        </is>
      </c>
      <c r="E1" s="21" t="inlineStr">
        <is>
          <t>Intent</t>
        </is>
      </c>
      <c r="F1" s="21" t="inlineStr">
        <is>
          <t>Priority</t>
        </is>
      </c>
      <c r="G1" s="21" t="inlineStr">
        <is>
          <t>Brief / key elements</t>
        </is>
      </c>
      <c r="H1" s="21" t="inlineStr">
        <is>
          <t>Owner</t>
        </is>
      </c>
      <c r="I1" s="21" t="inlineStr">
        <is>
          <t>Status</t>
        </is>
      </c>
    </row>
    <row r="2">
      <c r="A2" s="22" t="inlineStr">
        <is>
          <t>A</t>
        </is>
      </c>
      <c r="B2" s="22" t="inlineStr">
        <is>
          <t>Comparison</t>
        </is>
      </c>
      <c r="C2" s="22" t="inlineStr">
        <is>
          <t>/compare/crewhu-vs-simplesat</t>
        </is>
      </c>
      <c r="D2" s="22" t="inlineStr">
        <is>
          <t>crewhu vs simplesat, simplesat alternative</t>
        </is>
      </c>
      <c r="E2" s="22" t="inlineStr">
        <is>
          <t>Transactional</t>
        </is>
      </c>
      <c r="F2" s="22" t="inlineStr">
        <is>
          <t>Critical</t>
        </is>
      </c>
      <c r="G2" s="22" t="inlineStr">
        <is>
          <t>Positioning, feature table, pricing, best-fit, quotes, FAQ</t>
        </is>
      </c>
      <c r="H2" s="23" t="inlineStr"/>
      <c r="I2" s="23" t="inlineStr">
        <is>
          <t>Not started</t>
        </is>
      </c>
    </row>
    <row r="3">
      <c r="A3" s="22" t="inlineStr">
        <is>
          <t>A</t>
        </is>
      </c>
      <c r="B3" s="22" t="inlineStr">
        <is>
          <t>Comparison</t>
        </is>
      </c>
      <c r="C3" s="22" t="inlineStr">
        <is>
          <t>/compare/crewhu-vs-smileback</t>
        </is>
      </c>
      <c r="D3" s="22" t="inlineStr">
        <is>
          <t>crewhu vs smileback, smileback alternative</t>
        </is>
      </c>
      <c r="E3" s="22" t="inlineStr">
        <is>
          <t>Transactional</t>
        </is>
      </c>
      <c r="F3" s="22" t="inlineStr">
        <is>
          <t>Critical</t>
        </is>
      </c>
      <c r="G3" s="22" t="inlineStr">
        <is>
          <t>Same template</t>
        </is>
      </c>
      <c r="H3" s="23" t="inlineStr"/>
      <c r="I3" s="23" t="inlineStr">
        <is>
          <t>Not started</t>
        </is>
      </c>
    </row>
    <row r="4">
      <c r="A4" s="22" t="inlineStr">
        <is>
          <t>A</t>
        </is>
      </c>
      <c r="B4" s="22" t="inlineStr">
        <is>
          <t>Comparison</t>
        </is>
      </c>
      <c r="C4" s="22" t="inlineStr">
        <is>
          <t>/compare/crewhu-vs-bonusly</t>
        </is>
      </c>
      <c r="D4" s="22" t="inlineStr">
        <is>
          <t>bonusly vs crewhu</t>
        </is>
      </c>
      <c r="E4" s="22" t="inlineStr">
        <is>
          <t>Transactional</t>
        </is>
      </c>
      <c r="F4" s="22" t="inlineStr">
        <is>
          <t>Important</t>
        </is>
      </c>
      <c r="G4" s="22" t="inlineStr">
        <is>
          <t>Same template; recognition angle</t>
        </is>
      </c>
      <c r="H4" s="23" t="inlineStr"/>
      <c r="I4" s="23" t="inlineStr">
        <is>
          <t>Not started</t>
        </is>
      </c>
    </row>
    <row r="5">
      <c r="A5" s="22" t="inlineStr">
        <is>
          <t>A</t>
        </is>
      </c>
      <c r="B5" s="22" t="inlineStr">
        <is>
          <t>Comparison</t>
        </is>
      </c>
      <c r="C5" s="22" t="inlineStr">
        <is>
          <t>/compare/crewhu-vs-nicereply</t>
        </is>
      </c>
      <c r="D5" s="22" t="inlineStr">
        <is>
          <t>nicereply alternative msp</t>
        </is>
      </c>
      <c r="E5" s="22" t="inlineStr">
        <is>
          <t>Transactional</t>
        </is>
      </c>
      <c r="F5" s="22" t="inlineStr">
        <is>
          <t>Important</t>
        </is>
      </c>
      <c r="G5" s="22" t="inlineStr">
        <is>
          <t>Same template</t>
        </is>
      </c>
      <c r="H5" s="23" t="inlineStr"/>
      <c r="I5" s="23" t="inlineStr">
        <is>
          <t>Not started</t>
        </is>
      </c>
    </row>
    <row r="6">
      <c r="A6" s="22" t="inlineStr">
        <is>
          <t>A</t>
        </is>
      </c>
      <c r="B6" s="22" t="inlineStr">
        <is>
          <t>Alternatives</t>
        </is>
      </c>
      <c r="C6" s="22" t="inlineStr">
        <is>
          <t>/smileback-alternatives, /simplesat-alternatives</t>
        </is>
      </c>
      <c r="D6" s="22" t="inlineStr">
        <is>
          <t>smileback alternatives, simplesat alternatives</t>
        </is>
      </c>
      <c r="E6" s="22" t="inlineStr">
        <is>
          <t>Commercial</t>
        </is>
      </c>
      <c r="F6" s="22" t="inlineStr">
        <is>
          <t>Important</t>
        </is>
      </c>
      <c r="G6" s="22" t="inlineStr">
        <is>
          <t>Fair roundup with clear best-fit guidance</t>
        </is>
      </c>
      <c r="H6" s="23" t="inlineStr"/>
      <c r="I6" s="23" t="inlineStr">
        <is>
          <t>Not started</t>
        </is>
      </c>
    </row>
    <row r="7">
      <c r="A7" s="22" t="inlineStr">
        <is>
          <t>B</t>
        </is>
      </c>
      <c r="B7" s="22" t="inlineStr">
        <is>
          <t>Integration</t>
        </is>
      </c>
      <c r="C7" s="22" t="inlineStr">
        <is>
          <t>/integrations/connectwise</t>
        </is>
      </c>
      <c r="D7" s="22" t="inlineStr">
        <is>
          <t>connectwise csat survey, connectwise nps</t>
        </is>
      </c>
      <c r="E7" s="22" t="inlineStr">
        <is>
          <t>Commercial</t>
        </is>
      </c>
      <c r="F7" s="22" t="inlineStr">
        <is>
          <t>Critical</t>
        </is>
      </c>
      <c r="G7" s="22" t="inlineStr">
        <is>
          <t>What syncs, write-back, setup, screenshot, quote, help-doc link</t>
        </is>
      </c>
      <c r="H7" s="23" t="inlineStr"/>
      <c r="I7" s="23" t="inlineStr">
        <is>
          <t>Not started</t>
        </is>
      </c>
    </row>
    <row r="8">
      <c r="A8" s="22" t="inlineStr">
        <is>
          <t>B</t>
        </is>
      </c>
      <c r="B8" s="22" t="inlineStr">
        <is>
          <t>Integration</t>
        </is>
      </c>
      <c r="C8" s="22" t="inlineStr">
        <is>
          <t>/integrations/autotask</t>
        </is>
      </c>
      <c r="D8" s="22" t="inlineStr">
        <is>
          <t>autotask csat survey</t>
        </is>
      </c>
      <c r="E8" s="22" t="inlineStr">
        <is>
          <t>Commercial</t>
        </is>
      </c>
      <c r="F8" s="22" t="inlineStr">
        <is>
          <t>Critical</t>
        </is>
      </c>
      <c r="G8" s="22" t="inlineStr">
        <is>
          <t>Same template</t>
        </is>
      </c>
      <c r="H8" s="23" t="inlineStr"/>
      <c r="I8" s="23" t="inlineStr">
        <is>
          <t>Not started</t>
        </is>
      </c>
    </row>
    <row r="9">
      <c r="A9" s="22" t="inlineStr">
        <is>
          <t>B</t>
        </is>
      </c>
      <c r="B9" s="22" t="inlineStr">
        <is>
          <t>Integration</t>
        </is>
      </c>
      <c r="C9" s="22" t="inlineStr">
        <is>
          <t>/integrations/halopsa</t>
        </is>
      </c>
      <c r="D9" s="22" t="inlineStr">
        <is>
          <t>halopsa csat survey, halopsa api documentation (#8)</t>
        </is>
      </c>
      <c r="E9" s="22" t="inlineStr">
        <is>
          <t>Commercial</t>
        </is>
      </c>
      <c r="F9" s="22" t="inlineStr">
        <is>
          <t>Important</t>
        </is>
      </c>
      <c r="G9" s="22" t="inlineStr">
        <is>
          <t>Same template</t>
        </is>
      </c>
      <c r="H9" s="23" t="inlineStr"/>
      <c r="I9" s="23" t="inlineStr">
        <is>
          <t>Not started</t>
        </is>
      </c>
    </row>
    <row r="10">
      <c r="A10" s="22" t="inlineStr">
        <is>
          <t>B</t>
        </is>
      </c>
      <c r="B10" s="22" t="inlineStr">
        <is>
          <t>Integration</t>
        </is>
      </c>
      <c r="C10" s="22" t="inlineStr">
        <is>
          <t>/integrations/kaseya-bms, /syncro, /zendesk, /freshdesk, /cloudradial</t>
        </is>
      </c>
      <c r="D10" s="22" t="inlineStr">
        <is>
          <t>&lt;psa&gt; csat survey</t>
        </is>
      </c>
      <c r="E10" s="22" t="inlineStr">
        <is>
          <t>Commercial</t>
        </is>
      </c>
      <c r="F10" s="22" t="inlineStr">
        <is>
          <t>Important</t>
        </is>
      </c>
      <c r="G10" s="22" t="inlineStr">
        <is>
          <t>Same template</t>
        </is>
      </c>
      <c r="H10" s="23" t="inlineStr"/>
      <c r="I10" s="23" t="inlineStr">
        <is>
          <t>Not started</t>
        </is>
      </c>
    </row>
    <row r="11">
      <c r="A11" s="22" t="inlineStr">
        <is>
          <t>B</t>
        </is>
      </c>
      <c r="B11" s="22" t="inlineStr">
        <is>
          <t>Integration</t>
        </is>
      </c>
      <c r="C11" s="22" t="inlineStr">
        <is>
          <t>/integrations/teams, /slack, /brightgauge, /it-glue, /power-bi</t>
        </is>
      </c>
      <c r="D11" s="22" t="inlineStr">
        <is>
          <t>slack badges (#7 / 170), &lt;tool&gt; recognition</t>
        </is>
      </c>
      <c r="E11" s="22" t="inlineStr">
        <is>
          <t>Commercial</t>
        </is>
      </c>
      <c r="F11" s="22" t="inlineStr">
        <is>
          <t>Nice-to-have</t>
        </is>
      </c>
      <c r="G11" s="22" t="inlineStr">
        <is>
          <t>Same template</t>
        </is>
      </c>
      <c r="H11" s="23" t="inlineStr"/>
      <c r="I11" s="23" t="inlineStr">
        <is>
          <t>Not started</t>
        </is>
      </c>
    </row>
    <row r="12">
      <c r="A12" s="22" t="inlineStr">
        <is>
          <t>C</t>
        </is>
      </c>
      <c r="B12" s="22" t="inlineStr">
        <is>
          <t>Product</t>
        </is>
      </c>
      <c r="C12" s="22" t="inlineStr">
        <is>
          <t>/csat-surveys</t>
        </is>
      </c>
      <c r="D12" s="22" t="inlineStr">
        <is>
          <t>csat software (#4 / 260), customer surveys (#15 / 1,000)</t>
        </is>
      </c>
      <c r="E12" s="22" t="inlineStr">
        <is>
          <t>Commercial</t>
        </is>
      </c>
      <c r="F12" s="22" t="inlineStr">
        <is>
          <t>Critical</t>
        </is>
      </c>
      <c r="G12" s="22" t="inlineStr">
        <is>
          <t>Replaces/expands /collect-customer-feedback</t>
        </is>
      </c>
      <c r="H12" s="23" t="inlineStr"/>
      <c r="I12" s="23" t="inlineStr">
        <is>
          <t>Not started</t>
        </is>
      </c>
    </row>
    <row r="13">
      <c r="A13" s="22" t="inlineStr">
        <is>
          <t>C</t>
        </is>
      </c>
      <c r="B13" s="22" t="inlineStr">
        <is>
          <t>Product</t>
        </is>
      </c>
      <c r="C13" s="22" t="inlineStr">
        <is>
          <t>/employee-recognition</t>
        </is>
      </c>
      <c r="D13" s="22" t="inlineStr">
        <is>
          <t>employee recognition software (#20 / 1,900, $44.89 CPC)</t>
        </is>
      </c>
      <c r="E13" s="22" t="inlineStr">
        <is>
          <t>Commercial</t>
        </is>
      </c>
      <c r="F13" s="22" t="inlineStr">
        <is>
          <t>Critical</t>
        </is>
      </c>
      <c r="G13" s="22" t="inlineStr">
        <is>
          <t>Product page; link from the 13-tools comparison post</t>
        </is>
      </c>
      <c r="H13" s="23" t="inlineStr"/>
      <c r="I13" s="23" t="inlineStr">
        <is>
          <t>Not started</t>
        </is>
      </c>
    </row>
    <row r="14">
      <c r="A14" s="22" t="inlineStr">
        <is>
          <t>C</t>
        </is>
      </c>
      <c r="B14" s="22" t="inlineStr">
        <is>
          <t>Product</t>
        </is>
      </c>
      <c r="C14" s="22" t="inlineStr">
        <is>
          <t>/points-and-rewards</t>
        </is>
      </c>
      <c r="D14" s="22" t="inlineStr">
        <is>
          <t>employee points reward system (#9 / 140), how does the point system work (#5 / 210)</t>
        </is>
      </c>
      <c r="E14" s="22" t="inlineStr">
        <is>
          <t>Commercial</t>
        </is>
      </c>
      <c r="F14" s="22" t="inlineStr">
        <is>
          <t>Important</t>
        </is>
      </c>
      <c r="G14" s="22" t="inlineStr">
        <is>
          <t>Matches #2 blog traffic page (points system)</t>
        </is>
      </c>
      <c r="H14" s="23" t="inlineStr"/>
      <c r="I14" s="23" t="inlineStr">
        <is>
          <t>Not started</t>
        </is>
      </c>
    </row>
    <row r="15">
      <c r="A15" s="22" t="inlineStr">
        <is>
          <t>C</t>
        </is>
      </c>
      <c r="B15" s="22" t="inlineStr">
        <is>
          <t>Solution</t>
        </is>
      </c>
      <c r="C15" s="22" t="inlineStr">
        <is>
          <t>/google-review-generation</t>
        </is>
      </c>
      <c r="D15" s="22" t="inlineStr">
        <is>
          <t>reputation management program (#7 / 320), software to increase google reviews (#3)</t>
        </is>
      </c>
      <c r="E15" s="22" t="inlineStr">
        <is>
          <t>Commercial</t>
        </is>
      </c>
      <c r="F15" s="22" t="inlineStr">
        <is>
          <t>Important</t>
        </is>
      </c>
      <c r="G15" s="22" t="inlineStr">
        <is>
          <t>GO2 Tech proof; compliant, no review gating</t>
        </is>
      </c>
      <c r="H15" s="23" t="inlineStr"/>
      <c r="I15" s="23" t="inlineStr">
        <is>
          <t>Not started</t>
        </is>
      </c>
    </row>
    <row r="16">
      <c r="A16" s="22" t="inlineStr">
        <is>
          <t>C</t>
        </is>
      </c>
      <c r="B16" s="22" t="inlineStr">
        <is>
          <t>Solution</t>
        </is>
      </c>
      <c r="C16" s="22" t="inlineStr">
        <is>
          <t>/gamification</t>
        </is>
      </c>
      <c r="D16" s="22" t="inlineStr">
        <is>
          <t>employee leaderboard (#5), onboarding gamification (#5), gamification as a service (#7)</t>
        </is>
      </c>
      <c r="E16" s="22" t="inlineStr">
        <is>
          <t>Commercial</t>
        </is>
      </c>
      <c r="F16" s="22" t="inlineStr">
        <is>
          <t>Important</t>
        </is>
      </c>
      <c r="G16" s="22" t="inlineStr">
        <is>
          <t>Expand /gamify-your-metrics</t>
        </is>
      </c>
      <c r="H16" s="23" t="inlineStr"/>
      <c r="I16" s="23" t="inlineStr">
        <is>
          <t>Not started</t>
        </is>
      </c>
    </row>
    <row r="17">
      <c r="A17" s="22" t="inlineStr">
        <is>
          <t>C</t>
        </is>
      </c>
      <c r="B17" s="22" t="inlineStr">
        <is>
          <t>Solution</t>
        </is>
      </c>
      <c r="C17" s="22" t="inlineStr">
        <is>
          <t>/solutions/technician-retention</t>
        </is>
      </c>
      <c r="D17" s="22" t="inlineStr">
        <is>
          <t>employee retention services (#12 / 260), msp technician retention</t>
        </is>
      </c>
      <c r="E17" s="22" t="inlineStr">
        <is>
          <t>Commercial</t>
        </is>
      </c>
      <c r="F17" s="22" t="inlineStr">
        <is>
          <t>Important</t>
        </is>
      </c>
      <c r="G17" s="22" t="inlineStr">
        <is>
          <t>Auvik 60% burnout, Gallup 2.6x stats</t>
        </is>
      </c>
      <c r="H17" s="23" t="inlineStr"/>
      <c r="I17" s="23" t="inlineStr">
        <is>
          <t>Not started</t>
        </is>
      </c>
    </row>
    <row r="18">
      <c r="A18" s="22" t="inlineStr">
        <is>
          <t>C</t>
        </is>
      </c>
      <c r="B18" s="22" t="inlineStr">
        <is>
          <t>Solution</t>
        </is>
      </c>
      <c r="C18" s="22" t="inlineStr">
        <is>
          <t>/solutions/nps-for-msps</t>
        </is>
      </c>
      <c r="D18" s="22" t="inlineStr">
        <is>
          <t>nps for msps, biggest mistakes with nps (#7)</t>
        </is>
      </c>
      <c r="E18" s="22" t="inlineStr">
        <is>
          <t>Commercial</t>
        </is>
      </c>
      <c r="F18" s="22" t="inlineStr">
        <is>
          <t>Important</t>
        </is>
      </c>
      <c r="G18" s="22" t="inlineStr">
        <is>
          <t>Link NPS benchmarks post</t>
        </is>
      </c>
      <c r="H18" s="23" t="inlineStr"/>
      <c r="I18" s="23" t="inlineStr">
        <is>
          <t>Not started</t>
        </is>
      </c>
    </row>
    <row r="19">
      <c r="A19" s="22" t="inlineStr">
        <is>
          <t>D</t>
        </is>
      </c>
      <c r="B19" s="22" t="inlineStr">
        <is>
          <t>Proof</t>
        </is>
      </c>
      <c r="C19" s="22" t="inlineStr">
        <is>
          <t>/customers hub + Kraft + ACE IT pages</t>
        </is>
      </c>
      <c r="D19" s="22" t="inlineStr">
        <is>
          <t>crewhu case study, go2 tech reviews (#2)</t>
        </is>
      </c>
      <c r="E19" s="22" t="inlineStr">
        <is>
          <t>Commercial</t>
        </is>
      </c>
      <c r="F19" s="22" t="inlineStr">
        <is>
          <t>Important</t>
        </is>
      </c>
      <c r="G19" s="22" t="inlineStr">
        <is>
          <t>Metric-led titles</t>
        </is>
      </c>
      <c r="H19" s="23" t="inlineStr"/>
      <c r="I19" s="23" t="inlineStr">
        <is>
          <t>Not started</t>
        </is>
      </c>
    </row>
    <row r="20">
      <c r="A20" s="22" t="inlineStr">
        <is>
          <t>E</t>
        </is>
      </c>
      <c r="B20" s="22" t="inlineStr">
        <is>
          <t>Linkable asset</t>
        </is>
      </c>
      <c r="C20" s="22" t="inlineStr">
        <is>
          <t>/msp-csat-nps-benchmark-report</t>
        </is>
      </c>
      <c r="D20" s="22" t="inlineStr">
        <is>
          <t>msp csat benchmark, it services nps benchmark</t>
        </is>
      </c>
      <c r="E20" s="22" t="inlineStr">
        <is>
          <t>Informational</t>
        </is>
      </c>
      <c r="F20" s="22" t="inlineStr">
        <is>
          <t>Important</t>
        </is>
      </c>
      <c r="G20" s="22" t="inlineStr">
        <is>
          <t>Anonymized platform data; pitch to MSP media to fix 69% empty-anchor profile</t>
        </is>
      </c>
      <c r="H20" s="23" t="inlineStr"/>
      <c r="I20" s="23" t="inlineStr">
        <is>
          <t>Not started</t>
        </is>
      </c>
    </row>
    <row r="21">
      <c r="A21" s="22" t="inlineStr">
        <is>
          <t>E</t>
        </is>
      </c>
      <c r="B21" s="22" t="inlineStr">
        <is>
          <t>Tool</t>
        </is>
      </c>
      <c r="C21" s="22" t="inlineStr">
        <is>
          <t>/tools/nps-calculator</t>
        </is>
      </c>
      <c r="D21" s="22" t="inlineStr">
        <is>
          <t>nps calculator</t>
        </is>
      </c>
      <c r="E21" s="22" t="inlineStr">
        <is>
          <t>Informational</t>
        </is>
      </c>
      <c r="F21" s="22" t="inlineStr">
        <is>
          <t>Nice-to-have</t>
        </is>
      </c>
      <c r="G21" s="22" t="inlineStr">
        <is>
          <t>Calculator + CTA</t>
        </is>
      </c>
      <c r="H21" s="23" t="inlineStr"/>
      <c r="I21" s="23" t="inlineStr">
        <is>
          <t>Not started</t>
        </is>
      </c>
    </row>
    <row r="22">
      <c r="A22" s="22" t="inlineStr">
        <is>
          <t>E</t>
        </is>
      </c>
      <c r="B22" s="22" t="inlineStr">
        <is>
          <t>Tool</t>
        </is>
      </c>
      <c r="C22" s="22" t="inlineStr">
        <is>
          <t>/tools/google-review-link-generator</t>
        </is>
      </c>
      <c r="D22" s="22" t="inlineStr">
        <is>
          <t>google review link generator</t>
        </is>
      </c>
      <c r="E22" s="22" t="inlineStr">
        <is>
          <t>Informational</t>
        </is>
      </c>
      <c r="F22" s="22" t="inlineStr">
        <is>
          <t>Nice-to-have</t>
        </is>
      </c>
      <c r="G22" s="22" t="inlineStr">
        <is>
          <t>Link + QR generator</t>
        </is>
      </c>
      <c r="H22" s="23" t="inlineStr"/>
      <c r="I22" s="23" t="inlineStr">
        <is>
          <t>Not started</t>
        </is>
      </c>
    </row>
    <row r="23">
      <c r="A23" s="22" t="inlineStr">
        <is>
          <t>E</t>
        </is>
      </c>
      <c r="B23" s="22" t="inlineStr">
        <is>
          <t>Template</t>
        </is>
      </c>
      <c r="C23" s="22" t="inlineStr">
        <is>
          <t>/resources/msp-csat-survey-templates</t>
        </is>
      </c>
      <c r="D23" s="22" t="inlineStr">
        <is>
          <t>csat survey template msp</t>
        </is>
      </c>
      <c r="E23" s="22" t="inlineStr">
        <is>
          <t>Informational</t>
        </is>
      </c>
      <c r="F23" s="22" t="inlineStr">
        <is>
          <t>Nice-to-have</t>
        </is>
      </c>
      <c r="G23" s="22" t="inlineStr">
        <is>
          <t>Copyable templates</t>
        </is>
      </c>
      <c r="H23" s="23" t="inlineStr"/>
      <c r="I23" s="23" t="inlineStr">
        <is>
          <t>Not started</t>
        </is>
      </c>
    </row>
    <row r="25">
      <c r="A25" s="20" t="inlineStr">
        <is>
          <t>Groups: A = comparisons, B = integrations, C = product/solution pages, D = customer proof, E = linkable assets.</t>
        </is>
      </c>
    </row>
  </sheetData>
  <autoFilter ref="A1:I23"/>
  <conditionalFormatting sqref="F2:F23">
    <cfRule type="cellIs" priority="1" operator="equal" dxfId="0">
      <formula>"Critical"</formula>
    </cfRule>
    <cfRule type="cellIs" priority="2" operator="equal" dxfId="1">
      <formula>"Important"</formula>
    </cfRule>
    <cfRule type="cellIs" priority="3" operator="equal" dxfId="2">
      <formula>"Nice-to-have"</formula>
    </cfRule>
  </conditionalFormatting>
  <dataValidations count="1">
    <dataValidation sqref="I2:I23" showDropDown="0" showInputMessage="0" showErrorMessage="0" allowBlank="0" type="list">
      <formula1>"Not started,Briefed,Drafting,Published"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58" customWidth="1" min="2" max="2"/>
    <col width="90" customWidth="1" min="3" max="3"/>
    <col width="30" customWidth="1" min="4" max="4"/>
    <col width="9" customWidth="1" min="5" max="5"/>
  </cols>
  <sheetData>
    <row r="1">
      <c r="A1" s="19" t="inlineStr">
        <is>
          <t>Blog consolidation &amp; cleanup</t>
        </is>
      </c>
    </row>
    <row r="2">
      <c r="A2" s="20" t="inlineStr">
        <is>
          <t>Merge = 301 the listed URLs into the 'Keep as pillar' URL after folding in their best content.</t>
        </is>
      </c>
    </row>
    <row r="4">
      <c r="A4" s="21" t="inlineStr">
        <is>
          <t>Cluster</t>
        </is>
      </c>
      <c r="B4" s="21" t="inlineStr">
        <is>
          <t>Keep as pillar</t>
        </is>
      </c>
      <c r="C4" s="21" t="inlineStr">
        <is>
          <t>Merge / redirect into pillar</t>
        </is>
      </c>
      <c r="D4" s="21" t="inlineStr">
        <is>
          <t>Action</t>
        </is>
      </c>
      <c r="E4" s="21" t="inlineStr">
        <is>
          <t>Done?</t>
        </is>
      </c>
    </row>
    <row r="5">
      <c r="A5" s="22" t="inlineStr">
        <is>
          <t>Recognition programs</t>
        </is>
      </c>
      <c r="B5" s="22" t="inlineStr">
        <is>
          <t>/blog/6-types-of-employee-recognition-and-rewards-programs-that-really-work (83 kw)</t>
        </is>
      </c>
      <c r="C5" s="22" t="inlineStr">
        <is>
          <t>/blog/top-6-reasons-to-implement-a-rewards-and-recognition-program (keep – 38 ref. domains, link to pillar); /blog/3-all-star-recognition-awards-to-improve-your-bottom-line; /blog/dont-just-give-any-old-reward-give-employee-rewards-with-meaning</t>
        </is>
      </c>
      <c r="D5" s="22" t="inlineStr">
        <is>
          <t>Merge</t>
        </is>
      </c>
      <c r="E5" s="23" t="inlineStr"/>
    </row>
    <row r="6">
      <c r="A6" s="22" t="inlineStr">
        <is>
          <t>Recognition software</t>
        </is>
      </c>
      <c r="B6" s="22" t="inlineStr">
        <is>
          <t>/blog/employee-recognition-software (26 kw, #20)</t>
        </is>
      </c>
      <c r="C6" s="22" t="inlineStr">
        <is>
          <t>/blog/a-guide-to-employee-recognition-platforms-and-improving-your-bottom-line</t>
        </is>
      </c>
      <c r="D6" s="22" t="inlineStr">
        <is>
          <t>Merge</t>
        </is>
      </c>
      <c r="E6" s="23" t="inlineStr"/>
    </row>
    <row r="7">
      <c r="A7" s="22" t="inlineStr">
        <is>
          <t>SMART goals</t>
        </is>
      </c>
      <c r="B7" s="22" t="inlineStr">
        <is>
          <t>/blog/smart-goal-examples-for-employees (26 kw)</t>
        </is>
      </c>
      <c r="C7" s="22" t="inlineStr">
        <is>
          <t>/blog/3-smart-goals-examples-to-improve-your-kpis; /blog/3-rock-star-smart-goals-examples-to-boost-employee-incentive-programs; /blog/how-to-create-measurable-goals-for-employee-engagement</t>
        </is>
      </c>
      <c r="D7" s="22" t="inlineStr">
        <is>
          <t>Merge + add MSP technician angle</t>
        </is>
      </c>
      <c r="E7" s="23" t="inlineStr"/>
    </row>
    <row r="8">
      <c r="A8" s="22" t="inlineStr">
        <is>
          <t>EBITDA</t>
        </is>
      </c>
      <c r="B8" s="22" t="inlineStr">
        <is>
          <t>/blog/improve-msp-ebitda (6 kw)</t>
        </is>
      </c>
      <c r="C8" s="22" t="inlineStr">
        <is>
          <t>/blog/ebitda-for-msps; /blog/ebitda-strategies-msp-profit-boost</t>
        </is>
      </c>
      <c r="D8" s="22" t="inlineStr">
        <is>
          <t>Merge</t>
        </is>
      </c>
      <c r="E8" s="23" t="inlineStr"/>
    </row>
    <row r="9">
      <c r="A9" s="22" t="inlineStr">
        <is>
          <t>Reviews / reputation</t>
        </is>
      </c>
      <c r="B9" s="22" t="inlineStr">
        <is>
          <t>/blog/reputation-management-software</t>
        </is>
      </c>
      <c r="C9" s="22" t="inlineStr">
        <is>
          <t>/blog/how-to-get-more-google-reviews; /blog/best-software-for-managing-google-reviews; /blog/reputation-management-encouraging-customers-to-leave-reviews; /blog/how-to-identify-and-get-quality-reviews; /blog/msp-online-review-software</t>
        </is>
      </c>
      <c r="D9" s="22" t="inlineStr">
        <is>
          <t>Merge into 1 guide + 1 commercial page</t>
        </is>
      </c>
      <c r="E9" s="23" t="inlineStr"/>
    </row>
    <row r="10">
      <c r="A10" s="22" t="inlineStr">
        <is>
          <t>CSAT</t>
        </is>
      </c>
      <c r="B10" s="22" t="inlineStr">
        <is>
          <t>/blog/csat-software-for-msps (#4 'csat software')</t>
        </is>
      </c>
      <c r="C10" s="22" t="inlineStr">
        <is>
          <t>/blog/csat-survey; /blog/how-to-use-csat-surveys-to-boost-your-customer-satisfaction; /blog/successful-customer-satisfaction-surveys; /blog/how-to-manage-the-customer-satisfaction-process</t>
        </is>
      </c>
      <c r="D10" s="22" t="inlineStr">
        <is>
          <t>Merge into 1 how-to guide + keep commercial post</t>
        </is>
      </c>
      <c r="E10" s="23" t="inlineStr"/>
    </row>
    <row r="11">
      <c r="A11" s="22" t="inlineStr">
        <is>
          <t>Benchmarking</t>
        </is>
      </c>
      <c r="B11" s="22" t="inlineStr">
        <is>
          <t>/blog/6-types-of-benchmarking-your-business-should-use (52 kw)</t>
        </is>
      </c>
      <c r="C11" s="22" t="inlineStr">
        <is>
          <t>/blog/what-is-competitive-benchmarking; /blog/benchmarking-could-be-your-key-to-improve-your-business</t>
        </is>
      </c>
      <c r="D11" s="22" t="inlineStr">
        <is>
          <t>Merge (low business relevance – don't invest beyond merge)</t>
        </is>
      </c>
      <c r="E11" s="23" t="inlineStr"/>
    </row>
    <row r="12">
      <c r="A12" s="22" t="inlineStr">
        <is>
          <t>Testimonials</t>
        </is>
      </c>
      <c r="B12" s="22" t="inlineStr">
        <is>
          <t>/blog/strategies-to-gather-client-testimonials (62 kw)</t>
        </is>
      </c>
      <c r="C12" s="22" t="inlineStr">
        <is>
          <t>/blog/how-testimonials-reviews-help-sales-marketing; /blog/target-keywords-with-written-testimonials</t>
        </is>
      </c>
      <c r="D12" s="22" t="inlineStr">
        <is>
          <t>Merge</t>
        </is>
      </c>
      <c r="E12" s="23" t="inlineStr"/>
    </row>
    <row r="13">
      <c r="A13" s="22" t="inlineStr">
        <is>
          <t>Customer service</t>
        </is>
      </c>
      <c r="B13" s="22" t="inlineStr">
        <is>
          <t>/blog/understanding-customer-service-and-customer-care (2.2%)</t>
        </is>
      </c>
      <c r="C13" s="22" t="inlineStr">
        <is>
          <t>/blog/importance-of-customer-service; /blog/elevating-customer-service-excellence-strategies-for-success</t>
        </is>
      </c>
      <c r="D13" s="22" t="inlineStr">
        <is>
          <t>Refresh pillar; keep importance post if it holds rankings</t>
        </is>
      </c>
      <c r="E13" s="23" t="inlineStr"/>
    </row>
    <row r="14">
      <c r="A14" s="22" t="inlineStr">
        <is>
          <t>Off-topic / dated</t>
        </is>
      </c>
      <c r="B14" s="22" t="inlineStr">
        <is>
          <t>—</t>
        </is>
      </c>
      <c r="C14" s="22" t="inlineStr">
        <is>
          <t>/blog/games-for-employee-training; /blog/2021-blog-roundup; /blog/challenges-of-hybrid-work-model; /blog/franchise-owners-engage-employees</t>
        </is>
      </c>
      <c r="D14" s="22" t="inlineStr">
        <is>
          <t>Prune or noindex if no traffic/backlinks in GSC</t>
        </is>
      </c>
      <c r="E14" s="23" t="inlineStr"/>
    </row>
  </sheetData>
  <autoFilter ref="A4:E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40" customWidth="1" min="2" max="2"/>
    <col width="42" customWidth="1" min="3" max="3"/>
    <col width="40" customWidth="1" min="4" max="4"/>
  </cols>
  <sheetData>
    <row r="1">
      <c r="A1" s="21" t="inlineStr">
        <is>
          <t>Check</t>
        </is>
      </c>
      <c r="B1" s="21" t="inlineStr">
        <is>
          <t>Why not verified</t>
        </is>
      </c>
      <c r="C1" s="21" t="inlineStr">
        <is>
          <t>Tool</t>
        </is>
      </c>
      <c r="D1" s="21" t="inlineStr">
        <is>
          <t>Result / Notes</t>
        </is>
      </c>
    </row>
    <row r="2">
      <c r="A2" s="22" t="inlineStr">
        <is>
          <t>Raw HTML: meta descriptions, H1s, canonicals, alt text, schema</t>
        </is>
      </c>
      <c r="B2" s="22" t="inlineStr">
        <is>
          <t>crewhu.com blocked by audit network policy</t>
        </is>
      </c>
      <c r="C2" s="22" t="inlineStr">
        <is>
          <t>Screaming Frog; Rich Results Test</t>
        </is>
      </c>
      <c r="D2" s="23" t="inlineStr"/>
    </row>
    <row r="3">
      <c r="A3" s="22" t="inlineStr">
        <is>
          <t>Redirects for http / non-www / web.crewhu.com</t>
        </is>
      </c>
      <c r="B3" s="22" t="inlineStr">
        <is>
          <t>Same</t>
        </is>
      </c>
      <c r="C3" s="22" t="inlineStr">
        <is>
          <t>Screaming Frog; curl -I</t>
        </is>
      </c>
      <c r="D3" s="23" t="inlineStr"/>
    </row>
    <row r="4">
      <c r="A4" s="22" t="inlineStr">
        <is>
          <t>Real clicks &amp; impressions (Semrush = estimates)</t>
        </is>
      </c>
      <c r="B4" s="22" t="inlineStr">
        <is>
          <t>Requires owner access</t>
        </is>
      </c>
      <c r="C4" s="22" t="inlineStr">
        <is>
          <t>Google Search Console &gt; Performance</t>
        </is>
      </c>
      <c r="D4" s="23" t="inlineStr"/>
    </row>
    <row r="5">
      <c r="A5" s="22" t="inlineStr">
        <is>
          <t>Cause of 2023→2026 keyword decline and Mar–Apr 2026 branded dip</t>
        </is>
      </c>
      <c r="B5" s="22" t="inlineStr">
        <is>
          <t>Requires GSC history</t>
        </is>
      </c>
      <c r="C5" s="22" t="inlineStr">
        <is>
          <t>GSC date comparison vs Google update dates</t>
        </is>
      </c>
      <c r="D5" s="23" t="inlineStr"/>
    </row>
    <row r="6">
      <c r="A6" s="22" t="inlineStr">
        <is>
          <t>Core Web Vitals</t>
        </is>
      </c>
      <c r="B6" s="22" t="inlineStr">
        <is>
          <t>Requires live render</t>
        </is>
      </c>
      <c r="C6" s="22" t="inlineStr">
        <is>
          <t>PageSpeed Insights; CrUX</t>
        </is>
      </c>
      <c r="D6" s="23" t="inlineStr"/>
    </row>
    <row r="7">
      <c r="A7" s="22" t="inlineStr">
        <is>
          <t>Link gap vs simplesat.io / smileback.com</t>
        </is>
      </c>
      <c r="B7" s="22" t="inlineStr">
        <is>
          <t>Not in supplied reports</t>
        </is>
      </c>
      <c r="C7" s="22" t="inlineStr">
        <is>
          <t>Semrush Backlink Gap</t>
        </is>
      </c>
      <c r="D7" s="23" t="inlineStr"/>
    </row>
  </sheetData>
  <autoFilter ref="A1:D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90" customWidth="1" min="2" max="2"/>
  </cols>
  <sheetData>
    <row r="1">
      <c r="A1" s="21" t="inlineStr">
        <is>
          <t>Source</t>
        </is>
      </c>
      <c r="B1" s="21" t="inlineStr">
        <is>
          <t>URL / Origin</t>
        </is>
      </c>
    </row>
    <row r="2">
      <c r="A2" s="22" t="inlineStr">
        <is>
          <t>Semrush Domain Overview (Desktop) – crewhu.com, 1 Oct 2026</t>
        </is>
      </c>
      <c r="B2" s="22" t="inlineStr">
        <is>
          <t>Supplied by client (PDF)</t>
        </is>
      </c>
    </row>
    <row r="3">
      <c r="A3" s="22" t="inlineStr">
        <is>
          <t>Semrush Organic Research: Positions (Desktop) – 1 Oct 2026</t>
        </is>
      </c>
      <c r="B3" s="22" t="inlineStr">
        <is>
          <t>Supplied by client (PDF)</t>
        </is>
      </c>
    </row>
    <row r="4">
      <c r="A4" s="22" t="inlineStr">
        <is>
          <t>Semrush Organic Research: Pages (Desktop) – 1 Oct 2026</t>
        </is>
      </c>
      <c r="B4" s="22" t="inlineStr">
        <is>
          <t>Supplied by client (PDF)</t>
        </is>
      </c>
    </row>
    <row r="5">
      <c r="A5" s="22" t="inlineStr">
        <is>
          <t>Crewhu homepage</t>
        </is>
      </c>
      <c r="B5" s="39" t="inlineStr">
        <is>
          <t>https://www.crewhu.com/</t>
        </is>
      </c>
    </row>
    <row r="6">
      <c r="A6" s="22" t="inlineStr">
        <is>
          <t>Products</t>
        </is>
      </c>
      <c r="B6" s="39" t="inlineStr">
        <is>
          <t>https://www.crewhu.com/products</t>
        </is>
      </c>
    </row>
    <row r="7">
      <c r="A7" s="22" t="inlineStr">
        <is>
          <t>Integrations</t>
        </is>
      </c>
      <c r="B7" s="39" t="inlineStr">
        <is>
          <t>https://www.crewhu.com/integrations</t>
        </is>
      </c>
    </row>
    <row r="8">
      <c r="A8" s="22" t="inlineStr">
        <is>
          <t>Pricing</t>
        </is>
      </c>
      <c r="B8" s="39" t="inlineStr">
        <is>
          <t>https://www.crewhu.com/pricing</t>
        </is>
      </c>
    </row>
    <row r="9">
      <c r="A9" s="22" t="inlineStr">
        <is>
          <t>GO2 Tech case study</t>
        </is>
      </c>
      <c r="B9" s="39" t="inlineStr">
        <is>
          <t>https://www.crewhu.com/case-study/go2-tech</t>
        </is>
      </c>
    </row>
    <row r="10">
      <c r="A10" s="22" t="inlineStr">
        <is>
          <t>Help center integrations</t>
        </is>
      </c>
      <c r="B10" s="39" t="inlineStr">
        <is>
          <t>https://get-help-tnt.crewhu.com/hc/en-us/sections/360000298233-Integrations</t>
        </is>
      </c>
    </row>
    <row r="11">
      <c r="A11" s="22" t="inlineStr">
        <is>
          <t>Simplesat Crewhu alternative</t>
        </is>
      </c>
      <c r="B11" s="39" t="inlineStr">
        <is>
          <t>https://www.simplesat.io/alternatives/crewhu-alternative</t>
        </is>
      </c>
    </row>
    <row r="12">
      <c r="A12" s="22" t="inlineStr">
        <is>
          <t>Simplesat ConnectWise</t>
        </is>
      </c>
      <c r="B12" s="39" t="inlineStr">
        <is>
          <t>https://www.simplesat.io/integrations/connectwise</t>
        </is>
      </c>
    </row>
    <row r="13">
      <c r="A13" s="22" t="inlineStr">
        <is>
          <t>ConnectWise Customer Feedback (SmileBack)</t>
        </is>
      </c>
      <c r="B13" s="39" t="inlineStr">
        <is>
          <t>https://www.connectwise.com/platform/business-management/smileback</t>
        </is>
      </c>
    </row>
    <row r="14">
      <c r="A14" s="22" t="inlineStr">
        <is>
          <t>Capterra</t>
        </is>
      </c>
      <c r="B14" s="39" t="inlineStr">
        <is>
          <t>https://www.capterra.com/p/140426/CrewHu/</t>
        </is>
      </c>
    </row>
    <row r="15">
      <c r="A15" s="22" t="inlineStr">
        <is>
          <t>GetApp</t>
        </is>
      </c>
      <c r="B15" s="39" t="inlineStr">
        <is>
          <t>https://www.getapp.com/hr-employee-management-software/a/crewhu/</t>
        </is>
      </c>
    </row>
    <row r="16">
      <c r="A16" s="22" t="inlineStr">
        <is>
          <t>G2 alternatives</t>
        </is>
      </c>
      <c r="B16" s="39" t="inlineStr">
        <is>
          <t>https://www.g2.com/products/crewhu/competitors/alternatives</t>
        </is>
      </c>
    </row>
    <row r="17">
      <c r="A17" s="22" t="inlineStr">
        <is>
          <t>NetSuite MSP challenges 2026</t>
        </is>
      </c>
      <c r="B17" s="39" t="inlineStr">
        <is>
          <t>https://www.netsuite.com/portal/resource/articles/business-strategy/msp-challenges.shtml</t>
        </is>
      </c>
    </row>
    <row r="18">
      <c r="A18" s="22" t="inlineStr">
        <is>
          <t>LTVplus technician burnout</t>
        </is>
      </c>
      <c r="B18" s="39" t="inlineStr">
        <is>
          <t>https://www.ltvplus.com/msp/msp-technician-burnout/</t>
        </is>
      </c>
    </row>
    <row r="19">
      <c r="A19" s="22" t="inlineStr">
        <is>
          <t>Google spam policies (widget links)</t>
        </is>
      </c>
      <c r="B19" s="39" t="inlineStr">
        <is>
          <t>https://developers.google.com/search/docs/essentials/spam-policies</t>
        </is>
      </c>
    </row>
  </sheetData>
  <autoFilter ref="A1:B19"/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2026-10-01T12:09:53Z</dcterms:created>
  <dcterms:modified xsi:type="dcterms:W3CDTF">2026-10-01T12:09:54Z</dcterms:modified>
</cp:coreProperties>
</file>