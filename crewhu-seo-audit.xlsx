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Tracker" sheetId="2" state="visible" r:id="rId2"/>
    <sheet name="Quick Wins" sheetId="3" state="visible" r:id="rId3"/>
    <sheet name="Title &amp; Meta Rewrites" sheetId="4" state="visible" r:id="rId4"/>
    <sheet name="Content Plan" sheetId="5" state="visible" r:id="rId5"/>
    <sheet name="Blog Cleanup" sheetId="6" state="visible" r:id="rId6"/>
    <sheet name="Keyword Clusters" sheetId="7" state="visible" r:id="rId7"/>
    <sheet name="External Checks" sheetId="8" state="visible" r:id="rId8"/>
    <sheet name="Sources" sheetId="9" state="visible" r:id="rId9"/>
  </sheets>
  <definedNames>
    <definedName name="_xlnm._FilterDatabase" localSheetId="1" hidden="1">'Action Tracker'!$A$4:$M$21</definedName>
    <definedName name="_xlnm._FilterDatabase" localSheetId="2" hidden="1">'Quick Wins'!$A$3:$E$8</definedName>
    <definedName name="_xlnm._FilterDatabase" localSheetId="3" hidden="1">'Title &amp; Meta Rewrites'!$A$1:$F$8</definedName>
    <definedName name="_xlnm._FilterDatabase" localSheetId="4" hidden="1">'Content Plan'!$A$1:$I$20</definedName>
    <definedName name="_xlnm._FilterDatabase" localSheetId="5" hidden="1">'Blog Cleanup'!$A$1:$D$9</definedName>
    <definedName name="_xlnm._FilterDatabase" localSheetId="6" hidden="1">'Keyword Clusters'!$A$1:$G$8</definedName>
    <definedName name="_xlnm._FilterDatabase" localSheetId="7" hidden="1">'External Checks'!$A$1:$D$7</definedName>
    <definedName name="_xlnm._FilterDatabase" localSheetId="8" hidden="1">'Sources'!$A$1:$B$22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%;-0%;-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563C1"/>
      <sz val="10"/>
      <u val="single"/>
    </font>
    <font>
      <name val="Arial"/>
      <b val="1"/>
      <color rgb="001F3A5F"/>
      <sz val="16"/>
    </font>
    <font>
      <name val="Arial"/>
      <b val="1"/>
      <sz val="10"/>
    </font>
    <font>
      <name val="Arial"/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9" fillId="0" borderId="0" pivotButton="0" quotePrefix="0" xfId="0"/>
    <xf numFmtId="0" fontId="3" fillId="2" borderId="1" pivotButton="0" quotePrefix="0" xfId="0"/>
    <xf numFmtId="0" fontId="4" fillId="5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8" fillId="0" borderId="1" pivotButton="0" quotePrefix="0" xfId="0"/>
    <xf numFmtId="165" fontId="8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ont>
        <name val="Arial"/>
        <strike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tion Tracker'!A1" TargetMode="External" Id="rId1" /><Relationship Type="http://schemas.openxmlformats.org/officeDocument/2006/relationships/hyperlink" Target="#'Quick Wins'!A1" TargetMode="External" Id="rId2" /><Relationship Type="http://schemas.openxmlformats.org/officeDocument/2006/relationships/hyperlink" Target="#'Title &amp; Meta Rewrites'!A1" TargetMode="External" Id="rId3" /><Relationship Type="http://schemas.openxmlformats.org/officeDocument/2006/relationships/hyperlink" Target="#'Content Plan'!A1" TargetMode="External" Id="rId4" /><Relationship Type="http://schemas.openxmlformats.org/officeDocument/2006/relationships/hyperlink" Target="#'Blog Cleanup'!A1" TargetMode="External" Id="rId5" /><Relationship Type="http://schemas.openxmlformats.org/officeDocument/2006/relationships/hyperlink" Target="#'Keyword Clusters'!A1" TargetMode="External" Id="rId6" /><Relationship Type="http://schemas.openxmlformats.org/officeDocument/2006/relationships/hyperlink" Target="#'External Checks'!A1" TargetMode="External" Id="rId7" /><Relationship Type="http://schemas.openxmlformats.org/officeDocument/2006/relationships/hyperlink" Target="#'Sources'!A1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rewhu.com/" TargetMode="External" Id="rId1" /><Relationship Type="http://schemas.openxmlformats.org/officeDocument/2006/relationships/hyperlink" Target="https://www.crewhu.com/products" TargetMode="External" Id="rId2" /><Relationship Type="http://schemas.openxmlformats.org/officeDocument/2006/relationships/hyperlink" Target="https://www.crewhu.com/integrations" TargetMode="External" Id="rId3" /><Relationship Type="http://schemas.openxmlformats.org/officeDocument/2006/relationships/hyperlink" Target="https://www.crewhu.com/pricing" TargetMode="External" Id="rId4" /><Relationship Type="http://schemas.openxmlformats.org/officeDocument/2006/relationships/hyperlink" Target="https://www.crewhu.com/start-free-trial" TargetMode="External" Id="rId5" /><Relationship Type="http://schemas.openxmlformats.org/officeDocument/2006/relationships/hyperlink" Target="https://www.crewhu.com/free-trial-3" TargetMode="External" Id="rId6" /><Relationship Type="http://schemas.openxmlformats.org/officeDocument/2006/relationships/hyperlink" Target="https://www.crewhu.com/free-trial-g2" TargetMode="External" Id="rId7" /><Relationship Type="http://schemas.openxmlformats.org/officeDocument/2006/relationships/hyperlink" Target="https://www.crewhu.com/book-a-crewhu-demo-today" TargetMode="External" Id="rId8" /><Relationship Type="http://schemas.openxmlformats.org/officeDocument/2006/relationships/hyperlink" Target="https://www.crewhu.com/case-study/go2-tech" TargetMode="External" Id="rId9" /><Relationship Type="http://schemas.openxmlformats.org/officeDocument/2006/relationships/hyperlink" Target="https://www.crewhu.com/blog/employee-recognition-software" TargetMode="External" Id="rId10" /><Relationship Type="http://schemas.openxmlformats.org/officeDocument/2006/relationships/hyperlink" Target="https://www.crewhu.com/blog/how-to-get-more-google-reviews" TargetMode="External" Id="rId11" /><Relationship Type="http://schemas.openxmlformats.org/officeDocument/2006/relationships/hyperlink" Target="https://www.crewhu.com/ask-ashley/ask-ashley-take-one" TargetMode="External" Id="rId12" /><Relationship Type="http://schemas.openxmlformats.org/officeDocument/2006/relationships/hyperlink" Target="https://get-help-tnt.crewhu.com/hc/en-us/sections/360000298233-Integrations" TargetMode="External" Id="rId13" /><Relationship Type="http://schemas.openxmlformats.org/officeDocument/2006/relationships/hyperlink" Target="https://www.simplesat.io/alternatives/crewhu-alternative" TargetMode="External" Id="rId14" /><Relationship Type="http://schemas.openxmlformats.org/officeDocument/2006/relationships/hyperlink" Target="https://www.simplesat.io/integrations/connectwise" TargetMode="External" Id="rId15" /><Relationship Type="http://schemas.openxmlformats.org/officeDocument/2006/relationships/hyperlink" Target="https://www.connectwise.com/platform/business-management/smileback" TargetMode="External" Id="rId16" /><Relationship Type="http://schemas.openxmlformats.org/officeDocument/2006/relationships/hyperlink" Target="https://www.capterra.com/p/140426/CrewHu/" TargetMode="External" Id="rId17" /><Relationship Type="http://schemas.openxmlformats.org/officeDocument/2006/relationships/hyperlink" Target="https://www.getapp.com/hr-employee-management-software/a/crewhu/" TargetMode="External" Id="rId18" /><Relationship Type="http://schemas.openxmlformats.org/officeDocument/2006/relationships/hyperlink" Target="https://www.g2.com/products/crewhu/competitors/alternatives" TargetMode="External" Id="rId19" /><Relationship Type="http://schemas.openxmlformats.org/officeDocument/2006/relationships/hyperlink" Target="https://www.netsuite.com/portal/resource/articles/business-strategy/msp-challenges.shtml" TargetMode="External" Id="rId20" /><Relationship Type="http://schemas.openxmlformats.org/officeDocument/2006/relationships/hyperlink" Target="https://www.ltvplus.com/msp/msp-technician-burnout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SEO Audit: crewhu.com</t>
        </is>
      </c>
    </row>
    <row r="3">
      <c r="A3" s="2" t="inlineStr">
        <is>
          <t>Audit date</t>
        </is>
      </c>
      <c r="B3" s="3" t="inlineStr">
        <is>
          <t>2026-10-01</t>
        </is>
      </c>
    </row>
    <row r="4">
      <c r="A4" s="2" t="inlineStr">
        <is>
          <t>Site</t>
        </is>
      </c>
      <c r="B4" s="3" t="inlineStr">
        <is>
          <t>https://www.crewhu.com/</t>
        </is>
      </c>
    </row>
    <row r="5">
      <c r="A5" s="2" t="inlineStr">
        <is>
          <t>Overall health</t>
        </is>
      </c>
      <c r="B5" s="4" t="inlineStr">
        <is>
          <t>Needs Work</t>
        </is>
      </c>
    </row>
    <row r="6" ht="45" customHeight="1">
      <c r="A6" s="2" t="inlineStr">
        <is>
          <t>Method</t>
        </is>
      </c>
      <c r="B6" s="3" t="inlineStr">
        <is>
          <t>Based on search-engine index data, competitor SERPs and third-party listings. Direct access to crewhu.com was blocked, so HTML-level items are marked 'verify' (see External Checks).</t>
        </is>
      </c>
    </row>
    <row r="8">
      <c r="A8" s="5" t="inlineStr">
        <is>
          <t>Findings by priority</t>
        </is>
      </c>
    </row>
    <row r="9">
      <c r="A9" s="6" t="inlineStr">
        <is>
          <t>Priority</t>
        </is>
      </c>
      <c r="B9" s="6" t="inlineStr">
        <is>
          <t>Total</t>
        </is>
      </c>
      <c r="C9" s="6" t="inlineStr">
        <is>
          <t>Done</t>
        </is>
      </c>
      <c r="D9" s="6" t="inlineStr">
        <is>
          <t>Open</t>
        </is>
      </c>
      <c r="E9" s="6" t="inlineStr">
        <is>
          <t>% Done</t>
        </is>
      </c>
    </row>
    <row r="10">
      <c r="A10" s="7" t="inlineStr">
        <is>
          <t>Critical</t>
        </is>
      </c>
      <c r="B10" s="8">
        <f>COUNTIF('Action Tracker'!$C$5:$C$21,A10)</f>
        <v/>
      </c>
      <c r="C10" s="8">
        <f>COUNTIFS('Action Tracker'!$C$5:$C$21,A10,'Action Tracker'!$L$5:$L$21,"Done")</f>
        <v/>
      </c>
      <c r="D10" s="8">
        <f>B10-C10</f>
        <v/>
      </c>
      <c r="E10" s="9">
        <f>IF(B10=0,0,C10/B10)</f>
        <v/>
      </c>
    </row>
    <row r="11">
      <c r="A11" s="10" t="inlineStr">
        <is>
          <t>Important</t>
        </is>
      </c>
      <c r="B11" s="8">
        <f>COUNTIF('Action Tracker'!$C$5:$C$21,A11)</f>
        <v/>
      </c>
      <c r="C11" s="8">
        <f>COUNTIFS('Action Tracker'!$C$5:$C$21,A11,'Action Tracker'!$L$5:$L$21,"Done")</f>
        <v/>
      </c>
      <c r="D11" s="8">
        <f>B11-C11</f>
        <v/>
      </c>
      <c r="E11" s="9">
        <f>IF(B11=0,0,C11/B11)</f>
        <v/>
      </c>
    </row>
    <row r="12">
      <c r="A12" s="11" t="inlineStr">
        <is>
          <t>Nice-to-have</t>
        </is>
      </c>
      <c r="B12" s="8">
        <f>COUNTIF('Action Tracker'!$C$5:$C$21,A12)</f>
        <v/>
      </c>
      <c r="C12" s="8">
        <f>COUNTIFS('Action Tracker'!$C$5:$C$21,A12,'Action Tracker'!$L$5:$L$21,"Done")</f>
        <v/>
      </c>
      <c r="D12" s="8">
        <f>B12-C12</f>
        <v/>
      </c>
      <c r="E12" s="9">
        <f>IF(B12=0,0,C12/B12)</f>
        <v/>
      </c>
    </row>
    <row r="13">
      <c r="A13" s="12" t="inlineStr">
        <is>
          <t>Total</t>
        </is>
      </c>
      <c r="B13" s="12">
        <f>SUM(B10:B12)</f>
        <v/>
      </c>
      <c r="C13" s="12">
        <f>SUM(C10:C12)</f>
        <v/>
      </c>
      <c r="D13" s="12">
        <f>SUM(D10:D12)</f>
        <v/>
      </c>
      <c r="E13" s="13">
        <f>IF(B13=0,0,C13/B13)</f>
        <v/>
      </c>
    </row>
    <row r="15">
      <c r="A15" s="5" t="inlineStr">
        <is>
          <t>Top critical issues</t>
        </is>
      </c>
    </row>
    <row r="16">
      <c r="A16" s="14" t="inlineStr">
        <is>
          <t>C-01</t>
        </is>
      </c>
      <c r="B16" s="3" t="inlineStr">
        <is>
          <t>Duplicate free-trial / demo landing pages indexed</t>
        </is>
      </c>
    </row>
    <row r="17">
      <c r="A17" s="14" t="inlineStr">
        <is>
          <t>C-02</t>
        </is>
      </c>
      <c r="B17" s="3" t="inlineStr">
        <is>
          <t>Generic one-word titles on core commercial pages</t>
        </is>
      </c>
    </row>
    <row r="18">
      <c r="A18" s="14" t="inlineStr">
        <is>
          <t>C-03</t>
        </is>
      </c>
      <c r="B18" s="3" t="inlineStr">
        <is>
          <t>Competitors own 'Crewhu alternative' and comparison SERPs</t>
        </is>
      </c>
    </row>
    <row r="19">
      <c r="A19" s="14" t="inlineStr">
        <is>
          <t>C-04</t>
        </is>
      </c>
      <c r="B19" s="3" t="inlineStr">
        <is>
          <t>No ranking page for '&lt;PSA&gt; CSAT survey' queries</t>
        </is>
      </c>
    </row>
    <row r="20">
      <c r="A20" s="14" t="inlineStr">
        <is>
          <t>C-05</t>
        </is>
      </c>
      <c r="B20" s="3" t="inlineStr">
        <is>
          <t>Integration docs live on get-help-tnt.crewhu.com subdomain</t>
        </is>
      </c>
    </row>
    <row r="22">
      <c r="A22" s="5" t="inlineStr">
        <is>
          <t>What's working</t>
        </is>
      </c>
    </row>
    <row r="23">
      <c r="B23" s="3" t="inlineStr">
        <is>
          <t>Homepage title is strong: brand + both categories + audience.</t>
        </is>
      </c>
    </row>
    <row r="24">
      <c r="B24" s="3" t="inlineStr">
        <is>
          <t>/blog/how-to-get-more-google-reviews ranks #1 for 'how to get more Google reviews for MSP'.</t>
        </is>
      </c>
    </row>
    <row r="25">
      <c r="B25" s="3" t="inlineStr">
        <is>
          <t>/blog/employee-recognition-software ranks for 'employee recognition software for MSPs'.</t>
        </is>
      </c>
    </row>
    <row r="26">
      <c r="B26" s="3" t="inlineStr">
        <is>
          <t>Strong proof points: GO2 Tech (600% more Google reviews), Kraft (45% YoY growth), ACE IT (99% CSAT), 4.7★ on G2 (94 reviews).</t>
        </is>
      </c>
    </row>
    <row r="28">
      <c r="A28" s="5" t="inlineStr">
        <is>
          <t>Tabs</t>
        </is>
      </c>
    </row>
    <row r="29">
      <c r="A29" s="15" t="inlineStr">
        <is>
          <t>Action Tracker</t>
        </is>
      </c>
      <c r="B29" s="14" t="inlineStr">
        <is>
          <t>All findings with priority, recommendation, owner and status</t>
        </is>
      </c>
    </row>
    <row r="30">
      <c r="A30" s="15" t="inlineStr">
        <is>
          <t>Quick Wins</t>
        </is>
      </c>
      <c r="B30" s="14" t="inlineStr">
        <is>
          <t>Top 5 actions to do first</t>
        </is>
      </c>
    </row>
    <row r="31">
      <c r="A31" s="15" t="inlineStr">
        <is>
          <t>Title &amp; Meta Rewrites</t>
        </is>
      </c>
      <c r="B31" s="14" t="inlineStr">
        <is>
          <t>Copy-paste titles/metas with length checks</t>
        </is>
      </c>
    </row>
    <row r="32">
      <c r="A32" s="15" t="inlineStr">
        <is>
          <t>Content Plan</t>
        </is>
      </c>
      <c r="B32" s="14" t="inlineStr">
        <is>
          <t>New pages to build, with target queries and briefs</t>
        </is>
      </c>
    </row>
    <row r="33">
      <c r="A33" s="15" t="inlineStr">
        <is>
          <t>Blog Cleanup</t>
        </is>
      </c>
      <c r="B33" s="14" t="inlineStr">
        <is>
          <t>Merge / refresh / prune decisions for existing posts</t>
        </is>
      </c>
    </row>
    <row r="34">
      <c r="A34" s="15" t="inlineStr">
        <is>
          <t>Keyword Clusters</t>
        </is>
      </c>
      <c r="B34" s="14" t="inlineStr">
        <is>
          <t>Target clusters; fill in volumes from your SEO tool</t>
        </is>
      </c>
    </row>
    <row r="35">
      <c r="A35" s="15" t="inlineStr">
        <is>
          <t>External Checks</t>
        </is>
      </c>
      <c r="B35" s="14" t="inlineStr">
        <is>
          <t>Items to verify with GSC, Screaming Frog, PSI, Ahrefs</t>
        </is>
      </c>
    </row>
    <row r="36">
      <c r="A36" s="15" t="inlineStr">
        <is>
          <t>Sources</t>
        </is>
      </c>
      <c r="B36" s="14" t="inlineStr">
        <is>
          <t>Evidence URLs</t>
        </is>
      </c>
    </row>
  </sheetData>
  <hyperlinks>
    <hyperlink xmlns:r="http://schemas.openxmlformats.org/officeDocument/2006/relationships" ref="A29" r:id="rId1"/>
    <hyperlink xmlns:r="http://schemas.openxmlformats.org/officeDocument/2006/relationships" ref="A30" r:id="rId2"/>
    <hyperlink xmlns:r="http://schemas.openxmlformats.org/officeDocument/2006/relationships" ref="A31" r:id="rId3"/>
    <hyperlink xmlns:r="http://schemas.openxmlformats.org/officeDocument/2006/relationships" ref="A32" r:id="rId4"/>
    <hyperlink xmlns:r="http://schemas.openxmlformats.org/officeDocument/2006/relationships" ref="A33" r:id="rId5"/>
    <hyperlink xmlns:r="http://schemas.openxmlformats.org/officeDocument/2006/relationships" ref="A34" r:id="rId6"/>
    <hyperlink xmlns:r="http://schemas.openxmlformats.org/officeDocument/2006/relationships" ref="A35" r:id="rId7"/>
    <hyperlink xmlns:r="http://schemas.openxmlformats.org/officeDocument/2006/relationships" ref="A3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34" customWidth="1" min="4" max="4"/>
    <col width="34" customWidth="1" min="5" max="5"/>
    <col width="36" customWidth="1" min="6" max="6"/>
    <col width="48" customWidth="1" min="7" max="7"/>
    <col width="9" customWidth="1" min="8" max="8"/>
    <col width="9" customWidth="1" min="9" max="9"/>
    <col width="14" customWidth="1" min="10" max="10"/>
    <col width="12" customWidth="1" min="11" max="11"/>
    <col width="13" customWidth="1" min="12" max="12"/>
    <col width="24" customWidth="1" min="13" max="13"/>
  </cols>
  <sheetData>
    <row r="1">
      <c r="A1" s="16" t="inlineStr">
        <is>
          <t>Crewhu.com SEO Audit – Action Tracker</t>
        </is>
      </c>
    </row>
    <row r="2">
      <c r="A2" s="17" t="inlineStr">
        <is>
          <t>Yellow columns (Owner, Due Date, Status, Notes) are for your team to fill in. Status options: Not started / In progress / Done / Won't fix.</t>
        </is>
      </c>
    </row>
    <row r="4">
      <c r="A4" s="18" t="inlineStr">
        <is>
          <t>ID</t>
        </is>
      </c>
      <c r="B4" s="18" t="inlineStr">
        <is>
          <t>Category</t>
        </is>
      </c>
      <c r="C4" s="18" t="inlineStr">
        <is>
          <t>Priority</t>
        </is>
      </c>
      <c r="D4" s="18" t="inlineStr">
        <is>
          <t>Finding</t>
        </is>
      </c>
      <c r="E4" s="18" t="inlineStr">
        <is>
          <t>Affected URLs / Evidence</t>
        </is>
      </c>
      <c r="F4" s="18" t="inlineStr">
        <is>
          <t>Why it matters</t>
        </is>
      </c>
      <c r="G4" s="18" t="inlineStr">
        <is>
          <t>Recommendation</t>
        </is>
      </c>
      <c r="H4" s="18" t="inlineStr">
        <is>
          <t>Effort</t>
        </is>
      </c>
      <c r="I4" s="18" t="inlineStr">
        <is>
          <t>Impact</t>
        </is>
      </c>
      <c r="J4" s="18" t="inlineStr">
        <is>
          <t>Owner</t>
        </is>
      </c>
      <c r="K4" s="18" t="inlineStr">
        <is>
          <t>Due Date</t>
        </is>
      </c>
      <c r="L4" s="18" t="inlineStr">
        <is>
          <t>Status</t>
        </is>
      </c>
      <c r="M4" s="18" t="inlineStr">
        <is>
          <t>Notes</t>
        </is>
      </c>
    </row>
    <row r="5">
      <c r="A5" s="19" t="inlineStr">
        <is>
          <t>C-01</t>
        </is>
      </c>
      <c r="B5" s="19" t="inlineStr">
        <is>
          <t>Technical</t>
        </is>
      </c>
      <c r="C5" s="19" t="inlineStr">
        <is>
          <t>Critical</t>
        </is>
      </c>
      <c r="D5" s="19" t="inlineStr">
        <is>
          <t>Duplicate free-trial / demo landing pages indexed</t>
        </is>
      </c>
      <c r="E5" s="19" t="inlineStr">
        <is>
          <t>/start-free-trial, /free-trial-3, /free-trial-g2, /book-a-crewhu-demo-today</t>
        </is>
      </c>
      <c r="F5" s="19" t="inlineStr">
        <is>
          <t>Pages compete for the same intent, split link equity, and send organic visitors to G2/paid campaign pages.</t>
        </is>
      </c>
      <c r="G5" s="19" t="inlineStr">
        <is>
          <t>Pick one canonical /free-trial and /demo URL. Add noindex,follow (or rel=canonical) to all campaign variants; remove them from the XML sitemap; audit GSC for other -2/-4 variants.</t>
        </is>
      </c>
      <c r="H5" s="19" t="inlineStr">
        <is>
          <t>Low</t>
        </is>
      </c>
      <c r="I5" s="19" t="inlineStr">
        <is>
          <t>High</t>
        </is>
      </c>
      <c r="J5" s="20" t="inlineStr">
        <is>
          <t>SEO lead</t>
        </is>
      </c>
      <c r="K5" s="21" t="n"/>
      <c r="L5" s="20" t="inlineStr">
        <is>
          <t>Not started</t>
        </is>
      </c>
      <c r="M5" s="20" t="inlineStr">
        <is>
          <t>Example row - replace with your owner</t>
        </is>
      </c>
    </row>
    <row r="6">
      <c r="A6" s="19" t="inlineStr">
        <is>
          <t>C-02</t>
        </is>
      </c>
      <c r="B6" s="19" t="inlineStr">
        <is>
          <t>On-Page</t>
        </is>
      </c>
      <c r="C6" s="19" t="inlineStr">
        <is>
          <t>Critical</t>
        </is>
      </c>
      <c r="D6" s="19" t="inlineStr">
        <is>
          <t>Generic one-word titles on core commercial pages</t>
        </is>
      </c>
      <c r="E6" s="19" t="inlineStr">
        <is>
          <t>/products, /integrations, /about-us, /collect-customer-feedback, /gamify-your-metrics</t>
        </is>
      </c>
      <c r="F6" s="19" t="inlineStr">
        <is>
          <t>Highest-intent pages give Google almost no keyword signal and earn low CTR.</t>
        </is>
      </c>
      <c r="G6" s="19" t="inlineStr">
        <is>
          <t>Apply the rewrites in the 'Title &amp; Meta Rewrites' tab.</t>
        </is>
      </c>
      <c r="H6" s="19" t="inlineStr">
        <is>
          <t>Low</t>
        </is>
      </c>
      <c r="I6" s="19" t="inlineStr">
        <is>
          <t>High</t>
        </is>
      </c>
      <c r="J6" s="20" t="inlineStr"/>
      <c r="K6" s="21" t="n"/>
      <c r="L6" s="20" t="inlineStr">
        <is>
          <t>Not started</t>
        </is>
      </c>
      <c r="M6" s="20" t="inlineStr"/>
    </row>
    <row r="7">
      <c r="A7" s="19" t="inlineStr">
        <is>
          <t>C-03</t>
        </is>
      </c>
      <c r="B7" s="19" t="inlineStr">
        <is>
          <t>Content</t>
        </is>
      </c>
      <c r="C7" s="19" t="inlineStr">
        <is>
          <t>Critical</t>
        </is>
      </c>
      <c r="D7" s="19" t="inlineStr">
        <is>
          <t>Competitors own 'Crewhu alternative' and comparison SERPs</t>
        </is>
      </c>
      <c r="E7" s="19" t="inlineStr">
        <is>
          <t>simplesat.io/alternatives/crewhu-alternative; G2/Capterra/GetApp</t>
        </is>
      </c>
      <c r="F7" s="19" t="inlineStr">
        <is>
          <t>Bottom-of-funnel buyers see competitor framing (and outdated pricing) instead of Crewhu's.</t>
        </is>
      </c>
      <c r="G7" s="19" t="inlineStr">
        <is>
          <t>Build /compare/crewhu-vs-simplesat, -vs-smileback, -vs-bonusly, -vs-nicereply plus competitor-alternatives pages (see Content Plan).</t>
        </is>
      </c>
      <c r="H7" s="19" t="inlineStr">
        <is>
          <t>Medium</t>
        </is>
      </c>
      <c r="I7" s="19" t="inlineStr">
        <is>
          <t>High</t>
        </is>
      </c>
      <c r="J7" s="20" t="inlineStr"/>
      <c r="K7" s="21" t="n"/>
      <c r="L7" s="20" t="inlineStr">
        <is>
          <t>Not started</t>
        </is>
      </c>
      <c r="M7" s="20" t="inlineStr"/>
    </row>
    <row r="8">
      <c r="A8" s="19" t="inlineStr">
        <is>
          <t>C-04</t>
        </is>
      </c>
      <c r="B8" s="19" t="inlineStr">
        <is>
          <t>Content</t>
        </is>
      </c>
      <c r="C8" s="19" t="inlineStr">
        <is>
          <t>Critical</t>
        </is>
      </c>
      <c r="D8" s="19" t="inlineStr">
        <is>
          <t>No ranking page for '&lt;PSA&gt; CSAT survey' queries</t>
        </is>
      </c>
      <c r="E8" s="19" t="inlineStr">
        <is>
          <t>Search: 'ConnectWise CSAT survey integration'</t>
        </is>
      </c>
      <c r="F8" s="19" t="inlineStr">
        <is>
          <t>Simplesat, SmileBack and BizRatings rank; Crewhu is absent. Integration info only exists in help docs.</t>
        </is>
      </c>
      <c r="G8" s="19" t="inlineStr">
        <is>
          <t>Create /integrations/&lt;psa&gt; landing pages (ConnectWise, Autotask, HaloPSA, Kaseya BMS, Syncro, Zendesk, etc.).</t>
        </is>
      </c>
      <c r="H8" s="19" t="inlineStr">
        <is>
          <t>Medium</t>
        </is>
      </c>
      <c r="I8" s="19" t="inlineStr">
        <is>
          <t>High</t>
        </is>
      </c>
      <c r="J8" s="20" t="inlineStr"/>
      <c r="K8" s="21" t="n"/>
      <c r="L8" s="20" t="inlineStr">
        <is>
          <t>Not started</t>
        </is>
      </c>
      <c r="M8" s="20" t="inlineStr"/>
    </row>
    <row r="9">
      <c r="A9" s="19" t="inlineStr">
        <is>
          <t>C-05</t>
        </is>
      </c>
      <c r="B9" s="19" t="inlineStr">
        <is>
          <t>Technical</t>
        </is>
      </c>
      <c r="C9" s="19" t="inlineStr">
        <is>
          <t>Critical</t>
        </is>
      </c>
      <c r="D9" s="19" t="inlineStr">
        <is>
          <t>Integration docs live on get-help-tnt.crewhu.com subdomain</t>
        </is>
      </c>
      <c r="E9" s="19" t="inlineStr">
        <is>
          <t>get-help-tnt.crewhu.com/hc/en-us/...</t>
        </is>
      </c>
      <c r="F9" s="19" t="inlineStr">
        <is>
          <t>Subdomain authority largely doesn't benefit www; 'tnt' looks like a test environment.</t>
        </is>
      </c>
      <c r="G9" s="19" t="inlineStr">
        <is>
          <t>Short term: link each help article to its marketing integration page. Medium term: move to help.crewhu.com or /help with 301s.</t>
        </is>
      </c>
      <c r="H9" s="19" t="inlineStr">
        <is>
          <t>Medium</t>
        </is>
      </c>
      <c r="I9" s="19" t="inlineStr">
        <is>
          <t>Medium</t>
        </is>
      </c>
      <c r="J9" s="20" t="inlineStr"/>
      <c r="K9" s="21" t="n"/>
      <c r="L9" s="20" t="inlineStr">
        <is>
          <t>Not started</t>
        </is>
      </c>
      <c r="M9" s="20" t="inlineStr"/>
    </row>
    <row r="10">
      <c r="A10" s="19" t="inlineStr">
        <is>
          <t>I-01</t>
        </is>
      </c>
      <c r="B10" s="19" t="inlineStr">
        <is>
          <t>On-Page</t>
        </is>
      </c>
      <c r="C10" s="19" t="inlineStr">
        <is>
          <t>Important</t>
        </is>
      </c>
      <c r="D10" s="19" t="inlineStr">
        <is>
          <t>Non-descriptive URL slugs</t>
        </is>
      </c>
      <c r="E10" s="19" t="inlineStr">
        <is>
          <t>/book-a-crewhu-demo-today, /free-trial-3, /gamify-your-metrics, /collect-customer-feedback</t>
        </is>
      </c>
      <c r="F10" s="19" t="inlineStr">
        <is>
          <t>Slugs carry little keyword value.</t>
        </is>
      </c>
      <c r="G10" s="19" t="inlineStr">
        <is>
          <t>Consider /demo, /free-trial, /gamification, /csat-surveys - only with 301 redirects and only for top pages.</t>
        </is>
      </c>
      <c r="H10" s="19" t="inlineStr">
        <is>
          <t>Medium</t>
        </is>
      </c>
      <c r="I10" s="19" t="inlineStr">
        <is>
          <t>Low</t>
        </is>
      </c>
      <c r="J10" s="20" t="inlineStr"/>
      <c r="K10" s="21" t="n"/>
      <c r="L10" s="20" t="inlineStr">
        <is>
          <t>Not started</t>
        </is>
      </c>
      <c r="M10" s="20" t="inlineStr"/>
    </row>
    <row r="11">
      <c r="A11" s="19" t="inlineStr">
        <is>
          <t>I-02</t>
        </is>
      </c>
      <c r="B11" s="19" t="inlineStr">
        <is>
          <t>On-Page</t>
        </is>
      </c>
      <c r="C11" s="19" t="inlineStr">
        <is>
          <t>Important</t>
        </is>
      </c>
      <c r="D11" s="19" t="inlineStr">
        <is>
          <t>'Ask Ashley' posts have vague titles</t>
        </is>
      </c>
      <c r="E11" s="19" t="inlineStr">
        <is>
          <t>/ask-ashley/ask-ashley-take-one</t>
        </is>
      </c>
      <c r="F11" s="19" t="inlineStr">
        <is>
          <t>Titles don't match any search query.</t>
        </is>
      </c>
      <c r="G11" s="19" t="inlineStr">
        <is>
          <t>Retitle each post after the question it answers; keep 'Ask Ashley' as an in-body series label.</t>
        </is>
      </c>
      <c r="H11" s="19" t="inlineStr">
        <is>
          <t>Low</t>
        </is>
      </c>
      <c r="I11" s="19" t="inlineStr">
        <is>
          <t>Medium</t>
        </is>
      </c>
      <c r="J11" s="20" t="inlineStr"/>
      <c r="K11" s="21" t="n"/>
      <c r="L11" s="20" t="inlineStr">
        <is>
          <t>Not started</t>
        </is>
      </c>
      <c r="M11" s="20" t="inlineStr"/>
    </row>
    <row r="12">
      <c r="A12" s="19" t="inlineStr">
        <is>
          <t>I-03</t>
        </is>
      </c>
      <c r="B12" s="19" t="inlineStr">
        <is>
          <t>Technical</t>
        </is>
      </c>
      <c r="C12" s="19" t="inlineStr">
        <is>
          <t>Important</t>
        </is>
      </c>
      <c r="D12" s="19" t="inlineStr">
        <is>
          <t>Structured data not confirmed (verify)</t>
        </is>
      </c>
      <c r="E12" s="19" t="inlineStr">
        <is>
          <t>Homepage, /pricing, blog</t>
        </is>
      </c>
      <c r="F12" s="19" t="inlineStr">
        <is>
          <t>Missing schema forfeits rich results and entity clarity.</t>
        </is>
      </c>
      <c r="G12" s="19" t="inlineStr">
        <is>
          <t>Add SoftwareApplication (offers $119/$239/$399, aggregateRating if reviews shown on page), Organization with sameAs, Article/BlogPosting with author, BreadcrumbList, FAQ content.</t>
        </is>
      </c>
      <c r="H12" s="19" t="inlineStr">
        <is>
          <t>Low</t>
        </is>
      </c>
      <c r="I12" s="19" t="inlineStr">
        <is>
          <t>Medium</t>
        </is>
      </c>
      <c r="J12" s="20" t="inlineStr"/>
      <c r="K12" s="21" t="n"/>
      <c r="L12" s="20" t="inlineStr">
        <is>
          <t>Not started</t>
        </is>
      </c>
      <c r="M12" s="20" t="inlineStr"/>
    </row>
    <row r="13">
      <c r="A13" s="19" t="inlineStr">
        <is>
          <t>I-04</t>
        </is>
      </c>
      <c r="B13" s="19" t="inlineStr">
        <is>
          <t>Technical</t>
        </is>
      </c>
      <c r="C13" s="19" t="inlineStr">
        <is>
          <t>Important</t>
        </is>
      </c>
      <c r="D13" s="19" t="inlineStr">
        <is>
          <t>Blog dates inconsistent / stale posts mixed with 2026 content</t>
        </is>
      </c>
      <c r="E13" s="19" t="inlineStr">
        <is>
          <t>/blog/*</t>
        </is>
      </c>
      <c r="F13" s="19" t="inlineStr">
        <is>
          <t>Mismatched datePublished/dateModified confuses freshness signals.</t>
        </is>
      </c>
      <c r="G13" s="19" t="inlineStr">
        <is>
          <t>Align schema dates with visible dates; refresh or merge old posts.</t>
        </is>
      </c>
      <c r="H13" s="19" t="inlineStr">
        <is>
          <t>Low</t>
        </is>
      </c>
      <c r="I13" s="19" t="inlineStr">
        <is>
          <t>Low</t>
        </is>
      </c>
      <c r="J13" s="20" t="inlineStr"/>
      <c r="K13" s="21" t="n"/>
      <c r="L13" s="20" t="inlineStr">
        <is>
          <t>Not started</t>
        </is>
      </c>
      <c r="M13" s="20" t="inlineStr"/>
    </row>
    <row r="14">
      <c r="A14" s="19" t="inlineStr">
        <is>
          <t>I-05</t>
        </is>
      </c>
      <c r="B14" s="19" t="inlineStr">
        <is>
          <t>Content</t>
        </is>
      </c>
      <c r="C14" s="19" t="inlineStr">
        <is>
          <t>Important</t>
        </is>
      </c>
      <c r="D14" s="19" t="inlineStr">
        <is>
          <t>Off-topic / drifting blog posts</t>
        </is>
      </c>
      <c r="E14" s="19" t="inlineStr">
        <is>
          <t>/blog/games-for-employee-training, /blog/smart-goal-examples-for-employees, /blog/ebitda-for-msps, /blog/the-daily-huddle-...</t>
        </is>
      </c>
      <c r="F14" s="19" t="inlineStr">
        <is>
          <t>Dilutes MSP topical authority.</t>
        </is>
      </c>
      <c r="G14" s="19" t="inlineStr">
        <is>
          <t>Refresh with MSP angle if they get traffic; prune or noindex thin pre-2023 posts with no traffic or links.</t>
        </is>
      </c>
      <c r="H14" s="19" t="inlineStr">
        <is>
          <t>Medium</t>
        </is>
      </c>
      <c r="I14" s="19" t="inlineStr">
        <is>
          <t>Medium</t>
        </is>
      </c>
      <c r="J14" s="20" t="inlineStr"/>
      <c r="K14" s="21" t="n"/>
      <c r="L14" s="20" t="inlineStr">
        <is>
          <t>Not started</t>
        </is>
      </c>
      <c r="M14" s="20" t="inlineStr"/>
    </row>
    <row r="15">
      <c r="A15" s="19" t="inlineStr">
        <is>
          <t>I-06</t>
        </is>
      </c>
      <c r="B15" s="19" t="inlineStr">
        <is>
          <t>Content</t>
        </is>
      </c>
      <c r="C15" s="19" t="inlineStr">
        <is>
          <t>Important</t>
        </is>
      </c>
      <c r="D15" s="19" t="inlineStr">
        <is>
          <t>Two overlapping 'employee recognition platforms' guides</t>
        </is>
      </c>
      <c r="E15" s="19" t="inlineStr">
        <is>
          <t>/blog/a-guide-to-employee-recognition-platforms-..., /blog/employee-recognition-software</t>
        </is>
      </c>
      <c r="F15" s="19" t="inlineStr">
        <is>
          <t>Keyword cannibalization.</t>
        </is>
      </c>
      <c r="G15" s="19" t="inlineStr">
        <is>
          <t>301 the older guide into /blog/employee-recognition-software.</t>
        </is>
      </c>
      <c r="H15" s="19" t="inlineStr">
        <is>
          <t>Low</t>
        </is>
      </c>
      <c r="I15" s="19" t="inlineStr">
        <is>
          <t>Medium</t>
        </is>
      </c>
      <c r="J15" s="20" t="inlineStr"/>
      <c r="K15" s="21" t="n"/>
      <c r="L15" s="20" t="inlineStr">
        <is>
          <t>Not started</t>
        </is>
      </c>
      <c r="M15" s="20" t="inlineStr"/>
    </row>
    <row r="16">
      <c r="A16" s="19" t="inlineStr">
        <is>
          <t>I-07</t>
        </is>
      </c>
      <c r="B16" s="19" t="inlineStr">
        <is>
          <t>Content</t>
        </is>
      </c>
      <c r="C16" s="19" t="inlineStr">
        <is>
          <t>Important</t>
        </is>
      </c>
      <c r="D16" s="19" t="inlineStr">
        <is>
          <t>Only one case study indexed</t>
        </is>
      </c>
      <c r="E16" s="19" t="inlineStr">
        <is>
          <t>/case-study/go2-tech</t>
        </is>
      </c>
      <c r="F16" s="19" t="inlineStr">
        <is>
          <t>Kraft (45% YoY growth) and ACE IT (99% CSAT) proof isn't searchable.</t>
        </is>
      </c>
      <c r="G16" s="19" t="inlineStr">
        <is>
          <t>Build /customers hub; publish each story as its own page with metric-led titles.</t>
        </is>
      </c>
      <c r="H16" s="19" t="inlineStr">
        <is>
          <t>Medium</t>
        </is>
      </c>
      <c r="I16" s="19" t="inlineStr">
        <is>
          <t>Medium</t>
        </is>
      </c>
      <c r="J16" s="20" t="inlineStr"/>
      <c r="K16" s="21" t="n"/>
      <c r="L16" s="20" t="inlineStr">
        <is>
          <t>Not started</t>
        </is>
      </c>
      <c r="M16" s="20" t="inlineStr"/>
    </row>
    <row r="17">
      <c r="A17" s="19" t="inlineStr">
        <is>
          <t>I-08</t>
        </is>
      </c>
      <c r="B17" s="19" t="inlineStr">
        <is>
          <t>Content</t>
        </is>
      </c>
      <c r="C17" s="19" t="inlineStr">
        <is>
          <t>Important</t>
        </is>
      </c>
      <c r="D17" s="19" t="inlineStr">
        <is>
          <t>Weak internal linking from blog to commercial pages</t>
        </is>
      </c>
      <c r="E17" s="19" t="inlineStr">
        <is>
          <t>/blog/*</t>
        </is>
      </c>
      <c r="F17" s="19" t="inlineStr">
        <is>
          <t>Ranking blog posts don't pass authority or visitors to product pages.</t>
        </is>
      </c>
      <c r="G17" s="19" t="inlineStr">
        <is>
          <t>Every post links to ≥1 product/integration/comparison page with descriptive anchor text.</t>
        </is>
      </c>
      <c r="H17" s="19" t="inlineStr">
        <is>
          <t>Low</t>
        </is>
      </c>
      <c r="I17" s="19" t="inlineStr">
        <is>
          <t>Medium</t>
        </is>
      </c>
      <c r="J17" s="20" t="inlineStr"/>
      <c r="K17" s="21" t="n"/>
      <c r="L17" s="20" t="inlineStr">
        <is>
          <t>Not started</t>
        </is>
      </c>
      <c r="M17" s="20" t="inlineStr"/>
    </row>
    <row r="18">
      <c r="A18" s="19" t="inlineStr">
        <is>
          <t>I-09</t>
        </is>
      </c>
      <c r="B18" s="19" t="inlineStr">
        <is>
          <t>Off-Site</t>
        </is>
      </c>
      <c r="C18" s="19" t="inlineStr">
        <is>
          <t>Important</t>
        </is>
      </c>
      <c r="D18" s="19" t="inlineStr">
        <is>
          <t>Outdated pricing on review sites</t>
        </is>
      </c>
      <c r="E18" s="19" t="inlineStr">
        <is>
          <t>Capterra, GetApp, SourceForge, Software Advice</t>
        </is>
      </c>
      <c r="F18" s="19" t="inlineStr">
        <is>
          <t>'$99/user/month' conflicts with $119/$239/$399 plans.</t>
        </is>
      </c>
      <c r="G18" s="19" t="inlineStr">
        <is>
          <t>Claim profiles and update pricing; drive fresh G2/Capterra reviews.</t>
        </is>
      </c>
      <c r="H18" s="19" t="inlineStr">
        <is>
          <t>Low</t>
        </is>
      </c>
      <c r="I18" s="19" t="inlineStr">
        <is>
          <t>Medium</t>
        </is>
      </c>
      <c r="J18" s="20" t="inlineStr"/>
      <c r="K18" s="21" t="n"/>
      <c r="L18" s="20" t="inlineStr">
        <is>
          <t>Not started</t>
        </is>
      </c>
      <c r="M18" s="20" t="inlineStr"/>
    </row>
    <row r="19">
      <c r="A19" s="19" t="inlineStr">
        <is>
          <t>N-01</t>
        </is>
      </c>
      <c r="B19" s="19" t="inlineStr">
        <is>
          <t>Technical</t>
        </is>
      </c>
      <c r="C19" s="19" t="inlineStr">
        <is>
          <t>Nice-to-have</t>
        </is>
      </c>
      <c r="D19" s="19" t="inlineStr">
        <is>
          <t>Core Web Vitals not measured (verify)</t>
        </is>
      </c>
      <c r="E19" s="19" t="inlineStr">
        <is>
          <t>Sitewide</t>
        </is>
      </c>
      <c r="F19" s="19" t="inlineStr">
        <is>
          <t>Chat widgets, video and trackers often hurt LCP/INP.</t>
        </is>
      </c>
      <c r="G19" s="19" t="inlineStr">
        <is>
          <t>Defer chat/analytics, use WebP/AVIF with explicit dimensions; check PageSpeed Insights.</t>
        </is>
      </c>
      <c r="H19" s="19" t="inlineStr">
        <is>
          <t>Medium</t>
        </is>
      </c>
      <c r="I19" s="19" t="inlineStr">
        <is>
          <t>Low</t>
        </is>
      </c>
      <c r="J19" s="20" t="inlineStr"/>
      <c r="K19" s="21" t="n"/>
      <c r="L19" s="20" t="inlineStr">
        <is>
          <t>Not started</t>
        </is>
      </c>
      <c r="M19" s="20" t="inlineStr"/>
    </row>
    <row r="20">
      <c r="A20" s="19" t="inlineStr">
        <is>
          <t>N-02</t>
        </is>
      </c>
      <c r="B20" s="19" t="inlineStr">
        <is>
          <t>Off-Site</t>
        </is>
      </c>
      <c r="C20" s="19" t="inlineStr">
        <is>
          <t>Nice-to-have</t>
        </is>
      </c>
      <c r="D20" s="19" t="inlineStr">
        <is>
          <t>Partner/marketplace backlinks underused</t>
        </is>
      </c>
      <c r="E20" s="19" t="inlineStr">
        <is>
          <t>Pax8, ConnectWise Marketplace, HaloPSA, Kaseya</t>
        </is>
      </c>
      <c r="F20" s="19" t="inlineStr">
        <is>
          <t>Relevant, authoritative links available.</t>
        </is>
      </c>
      <c r="G20" s="19" t="inlineStr">
        <is>
          <t>Request integration listings linking to /integrations/&lt;psa&gt; pages; pitch benchmark report to ChannelPro, SmarterMSP, MSP Insights.</t>
        </is>
      </c>
      <c r="H20" s="19" t="inlineStr">
        <is>
          <t>Medium</t>
        </is>
      </c>
      <c r="I20" s="19" t="inlineStr">
        <is>
          <t>Medium</t>
        </is>
      </c>
      <c r="J20" s="20" t="inlineStr"/>
      <c r="K20" s="21" t="n"/>
      <c r="L20" s="20" t="inlineStr">
        <is>
          <t>Not started</t>
        </is>
      </c>
      <c r="M20" s="20" t="inlineStr"/>
    </row>
    <row r="21">
      <c r="A21" s="19" t="inlineStr">
        <is>
          <t>N-03</t>
        </is>
      </c>
      <c r="B21" s="19" t="inlineStr">
        <is>
          <t>On-Page</t>
        </is>
      </c>
      <c r="C21" s="19" t="inlineStr">
        <is>
          <t>Nice-to-have</t>
        </is>
      </c>
      <c r="D21" s="19" t="inlineStr">
        <is>
          <t>Homepage title could lead with CSAT</t>
        </is>
      </c>
      <c r="E21" s="19" t="inlineStr">
        <is>
          <t>/</t>
        </is>
      </c>
      <c r="F21" s="19" t="inlineStr">
        <is>
          <t>CSAT/NPS queries carry stronger buying intent.</t>
        </is>
      </c>
      <c r="G21" s="19" t="inlineStr">
        <is>
          <t>Optional test: 'Crewhu: CSAT &amp; Employee Recognition Software for MSPs'.</t>
        </is>
      </c>
      <c r="H21" s="19" t="inlineStr">
        <is>
          <t>Low</t>
        </is>
      </c>
      <c r="I21" s="19" t="inlineStr">
        <is>
          <t>Low</t>
        </is>
      </c>
      <c r="J21" s="20" t="inlineStr"/>
      <c r="K21" s="21" t="n"/>
      <c r="L21" s="20" t="inlineStr">
        <is>
          <t>Not started</t>
        </is>
      </c>
      <c r="M21" s="20" t="inlineStr"/>
    </row>
  </sheetData>
  <autoFilter ref="A4:M21"/>
  <conditionalFormatting sqref="C5:C21">
    <cfRule type="cellIs" priority="1" operator="equal" dxfId="0">
      <formula>"Critical"</formula>
    </cfRule>
    <cfRule type="cellIs" priority="2" operator="equal" dxfId="1">
      <formula>"Important"</formula>
    </cfRule>
    <cfRule type="cellIs" priority="3" operator="equal" dxfId="2">
      <formula>"Nice-to-have"</formula>
    </cfRule>
  </conditionalFormatting>
  <conditionalFormatting sqref="A5:M21">
    <cfRule type="expression" priority="4" dxfId="3">
      <formula>$L5="Done"</formula>
    </cfRule>
  </conditionalFormatting>
  <dataValidations count="3">
    <dataValidation sqref="L5:L21" showDropDown="0" showInputMessage="0" showErrorMessage="0" allowBlank="1" type="list">
      <formula1>"Not started,In progress,Done,Won't fix"</formula1>
    </dataValidation>
    <dataValidation sqref="C5:C21" showDropDown="0" showInputMessage="0" showErrorMessage="0" allowBlank="0" type="list">
      <formula1>"Critical,Important,Nice-to-have"</formula1>
    </dataValidation>
    <dataValidation sqref="H5:I21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3" customWidth="1" min="3" max="3"/>
    <col width="13" customWidth="1" min="4" max="4"/>
    <col width="20" customWidth="1" min="5" max="5"/>
  </cols>
  <sheetData>
    <row r="1">
      <c r="A1" s="16" t="inlineStr">
        <is>
          <t>Quick Wins – do these first</t>
        </is>
      </c>
    </row>
    <row r="3">
      <c r="A3" s="18" t="inlineStr">
        <is>
          <t>#</t>
        </is>
      </c>
      <c r="B3" s="18" t="inlineStr">
        <is>
          <t>Action</t>
        </is>
      </c>
      <c r="C3" s="18" t="inlineStr">
        <is>
          <t>Tracker ID</t>
        </is>
      </c>
      <c r="D3" s="18" t="inlineStr">
        <is>
          <t>Est. effort</t>
        </is>
      </c>
      <c r="E3" s="18" t="inlineStr">
        <is>
          <t>Status (from tracker)</t>
        </is>
      </c>
    </row>
    <row r="4">
      <c r="A4" s="19" t="n">
        <v>1</v>
      </c>
      <c r="B4" s="19" t="inlineStr">
        <is>
          <t>Noindex/canonicalize duplicate trial &amp; demo pages; remove from sitemap</t>
        </is>
      </c>
      <c r="C4" s="19" t="inlineStr">
        <is>
          <t>C-01</t>
        </is>
      </c>
      <c r="D4" s="19" t="inlineStr">
        <is>
          <t>~30 min</t>
        </is>
      </c>
      <c r="E4" s="22">
        <f>IFERROR(INDEX('Action Tracker'!$L$5:$L$21,MATCH("C-01",'Action Tracker'!$A$5:$A$21,0)),"")</f>
        <v/>
      </c>
    </row>
    <row r="5">
      <c r="A5" s="19" t="n">
        <v>2</v>
      </c>
      <c r="B5" s="19" t="inlineStr">
        <is>
          <t>Rewrite generic titles &amp; meta descriptions (see 'Title &amp; Meta Rewrites')</t>
        </is>
      </c>
      <c r="C5" s="19" t="inlineStr">
        <is>
          <t>C-02</t>
        </is>
      </c>
      <c r="D5" s="19" t="inlineStr">
        <is>
          <t>~1-2 hrs</t>
        </is>
      </c>
      <c r="E5" s="22">
        <f>IFERROR(INDEX('Action Tracker'!$L$5:$L$21,MATCH("C-02",'Action Tracker'!$A$5:$A$21,0)),"")</f>
        <v/>
      </c>
    </row>
    <row r="6">
      <c r="A6" s="19" t="n">
        <v>3</v>
      </c>
      <c r="B6" s="19" t="inlineStr">
        <is>
          <t>Add SoftwareApplication + Organization schema to homepage and /pricing</t>
        </is>
      </c>
      <c r="C6" s="19" t="inlineStr">
        <is>
          <t>I-03</t>
        </is>
      </c>
      <c r="D6" s="19" t="inlineStr">
        <is>
          <t>~1 hr</t>
        </is>
      </c>
      <c r="E6" s="22">
        <f>IFERROR(INDEX('Action Tracker'!$L$5:$L$21,MATCH("I-03",'Action Tracker'!$A$5:$A$21,0)),"")</f>
        <v/>
      </c>
    </row>
    <row r="7">
      <c r="A7" s="19" t="n">
        <v>4</v>
      </c>
      <c r="B7" s="19" t="inlineStr">
        <is>
          <t>Publish first comparison page: /compare/crewhu-vs-simplesat</t>
        </is>
      </c>
      <c r="C7" s="19" t="inlineStr">
        <is>
          <t>C-03</t>
        </is>
      </c>
      <c r="D7" s="19" t="inlineStr">
        <is>
          <t>~1-2 days</t>
        </is>
      </c>
      <c r="E7" s="22">
        <f>IFERROR(INDEX('Action Tracker'!$L$5:$L$21,MATCH("C-03",'Action Tracker'!$A$5:$A$21,0)),"")</f>
        <v/>
      </c>
    </row>
    <row r="8">
      <c r="A8" s="19" t="n">
        <v>5</v>
      </c>
      <c r="B8" s="19" t="inlineStr">
        <is>
          <t>Link help-center integration articles to marketing pages; link Google-reviews blog post to GO2 Tech case study + trial</t>
        </is>
      </c>
      <c r="C8" s="19" t="inlineStr">
        <is>
          <t>C-05 / I-08</t>
        </is>
      </c>
      <c r="D8" s="19" t="inlineStr">
        <is>
          <t>~2 hrs</t>
        </is>
      </c>
      <c r="E8" s="22">
        <f>IFERROR(INDEX('Action Tracker'!$L$5:$L$21,MATCH("C-05",'Action Tracker'!$A$5:$A$21,0)),"")</f>
        <v/>
      </c>
    </row>
  </sheetData>
  <autoFilter ref="A3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8" customWidth="1" min="3" max="3"/>
    <col width="70" customWidth="1" min="4" max="4"/>
    <col width="11" customWidth="1" min="5" max="5"/>
    <col width="11" customWidth="1" min="6" max="6"/>
  </cols>
  <sheetData>
    <row r="1">
      <c r="A1" s="18" t="inlineStr">
        <is>
          <t>URL</t>
        </is>
      </c>
      <c r="B1" s="18" t="inlineStr">
        <is>
          <t>Current title (as indexed)</t>
        </is>
      </c>
      <c r="C1" s="18" t="inlineStr">
        <is>
          <t>Proposed title</t>
        </is>
      </c>
      <c r="D1" s="18" t="inlineStr">
        <is>
          <t>Proposed meta description</t>
        </is>
      </c>
      <c r="E1" s="18" t="inlineStr">
        <is>
          <t>Title length</t>
        </is>
      </c>
      <c r="F1" s="18" t="inlineStr">
        <is>
          <t>Meta length</t>
        </is>
      </c>
    </row>
    <row r="2">
      <c r="A2" s="19" t="inlineStr">
        <is>
          <t>/products</t>
        </is>
      </c>
      <c r="B2" s="19" t="inlineStr">
        <is>
          <t>Products</t>
        </is>
      </c>
      <c r="C2" s="19" t="inlineStr">
        <is>
          <t>Crewhu Products: CSAT, Recognition &amp; Gamification for MSPs</t>
        </is>
      </c>
      <c r="D2" s="19" t="inlineStr">
        <is>
          <t>One platform for MSP client feedback and team engagement: one-click CSAT and NPS surveys, peer recognition, badges, rewards and PSA-powered contests.</t>
        </is>
      </c>
      <c r="E2" s="19">
        <f>LEN(C2)</f>
        <v/>
      </c>
      <c r="F2" s="19">
        <f>LEN(D2)</f>
        <v/>
      </c>
    </row>
    <row r="3">
      <c r="A3" s="19" t="inlineStr">
        <is>
          <t>/integrations</t>
        </is>
      </c>
      <c r="B3" s="19" t="inlineStr">
        <is>
          <t>Integrations</t>
        </is>
      </c>
      <c r="C3" s="19" t="inlineStr">
        <is>
          <t>Crewhu Integrations: ConnectWise, Autotask, HaloPSA &amp; More</t>
        </is>
      </c>
      <c r="D3" s="19" t="inlineStr">
        <is>
          <t>Connect Crewhu to ConnectWise, Autotask, HaloPSA, Syncro, Zendesk, Teams, Slack and BrightGauge. Surveys sync to tickets; wins reach your team.</t>
        </is>
      </c>
      <c r="E3" s="19">
        <f>LEN(C3)</f>
        <v/>
      </c>
      <c r="F3" s="19">
        <f>LEN(D3)</f>
        <v/>
      </c>
    </row>
    <row r="4">
      <c r="A4" s="19" t="inlineStr">
        <is>
          <t>/collect-customer-feedback</t>
        </is>
      </c>
      <c r="B4" s="19" t="inlineStr">
        <is>
          <t>Collect Customer Feedback</t>
        </is>
      </c>
      <c r="C4" s="19" t="inlineStr">
        <is>
          <t>CSAT &amp; NPS Survey Software for MSPs | Crewhu</t>
        </is>
      </c>
      <c r="D4" s="19" t="inlineStr">
        <is>
          <t>Send one-click CSAT surveys on every closed ticket and automated NPS surveys, then turn happy clients into Google reviews. Built for MSPs.</t>
        </is>
      </c>
      <c r="E4" s="19">
        <f>LEN(C4)</f>
        <v/>
      </c>
      <c r="F4" s="19">
        <f>LEN(D4)</f>
        <v/>
      </c>
    </row>
    <row r="5">
      <c r="A5" s="19" t="inlineStr">
        <is>
          <t>/gamify-your-metrics</t>
        </is>
      </c>
      <c r="B5" s="19" t="inlineStr">
        <is>
          <t>Gamify Your Metrics</t>
        </is>
      </c>
      <c r="C5" s="19" t="inlineStr">
        <is>
          <t>Help Desk Gamification &amp; Technician Leaderboards | Crewhu</t>
        </is>
      </c>
      <c r="D5" s="19" t="inlineStr">
        <is>
          <t>Run contests and leaderboards on real PSA KPIs (CSAT, closed tickets, time entries) to motivate MSP technicians.</t>
        </is>
      </c>
      <c r="E5" s="19">
        <f>LEN(C5)</f>
        <v/>
      </c>
      <c r="F5" s="19">
        <f>LEN(D5)</f>
        <v/>
      </c>
    </row>
    <row r="6">
      <c r="A6" s="19" t="inlineStr">
        <is>
          <t>/about-us</t>
        </is>
      </c>
      <c r="B6" s="19" t="inlineStr">
        <is>
          <t>About Us</t>
        </is>
      </c>
      <c r="C6" s="19" t="inlineStr">
        <is>
          <t>About Crewhu: Built by an MSP Veteran for MSPs</t>
        </is>
      </c>
      <c r="D6" s="19" t="inlineStr">
        <is>
          <t>Founded in 2013 by Stephen Spiegel, Crewhu helps MSPs delight clients and engage their teams with CSAT, recognition and gamification.</t>
        </is>
      </c>
      <c r="E6" s="19">
        <f>LEN(C6)</f>
        <v/>
      </c>
      <c r="F6" s="19">
        <f>LEN(D6)</f>
        <v/>
      </c>
    </row>
    <row r="7">
      <c r="A7" s="19" t="inlineStr">
        <is>
          <t>/pricing</t>
        </is>
      </c>
      <c r="B7" s="19" t="inlineStr">
        <is>
          <t>Pricing &amp; Plans: Employee Recognition Software</t>
        </is>
      </c>
      <c r="C7" s="19" t="inlineStr">
        <is>
          <t>Crewhu Pricing &amp; Plans: CSAT + Recognition for MSPs</t>
        </is>
      </c>
      <c r="D7" s="19" t="inlineStr">
        <is>
          <t>Compare Crewhu plans: Listen ($119/mo), Recognize ($239/mo) and Grow ($399/mo). Start a free 14-day trial, no credit card required.</t>
        </is>
      </c>
      <c r="E7" s="19">
        <f>LEN(C7)</f>
        <v/>
      </c>
      <c r="F7" s="19">
        <f>LEN(D7)</f>
        <v/>
      </c>
    </row>
    <row r="8">
      <c r="A8" s="19" t="inlineStr">
        <is>
          <t>/ask-ashley/ask-ashley-take-one</t>
        </is>
      </c>
      <c r="B8" s="19" t="inlineStr">
        <is>
          <t>Ask Ashley, Take One</t>
        </is>
      </c>
      <c r="C8" s="19" t="inlineStr">
        <is>
          <t>(Retitle after the question the post answers)</t>
        </is>
      </c>
      <c r="D8" s="19" t="inlineStr">
        <is>
          <t>(Write after retitling)</t>
        </is>
      </c>
      <c r="E8" s="19">
        <f>LEN(C8)</f>
        <v/>
      </c>
      <c r="F8" s="19">
        <f>LEN(D8)</f>
        <v/>
      </c>
    </row>
    <row r="10">
      <c r="A10" s="17" t="inlineStr">
        <is>
          <t>Lengths highlighted yellow exceed ~60 chars (title) / ~160 chars (meta) and may be truncated in search results. Current titles are as indexed by search engines and should be confirmed against page source.</t>
        </is>
      </c>
    </row>
  </sheetData>
  <autoFilter ref="A1:F8"/>
  <mergeCells count="1">
    <mergeCell ref="A10:F10"/>
  </mergeCells>
  <conditionalFormatting sqref="E2:E8">
    <cfRule type="cellIs" priority="1" operator="greaterThan" dxfId="1">
      <formula>60</formula>
    </cfRule>
  </conditionalFormatting>
  <conditionalFormatting sqref="F2:F8">
    <cfRule type="cellIs" priority="2" operator="greaterThan" dxfId="1">
      <formula>160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36" customWidth="1" min="4" max="4"/>
    <col width="13" customWidth="1" min="5" max="5"/>
    <col width="12" customWidth="1" min="6" max="6"/>
    <col width="55" customWidth="1" min="7" max="7"/>
    <col width="14" customWidth="1" min="8" max="8"/>
    <col width="13" customWidth="1" min="9" max="9"/>
  </cols>
  <sheetData>
    <row r="1">
      <c r="A1" s="18" t="inlineStr">
        <is>
          <t>Group</t>
        </is>
      </c>
      <c r="B1" s="18" t="inlineStr">
        <is>
          <t>Type</t>
        </is>
      </c>
      <c r="C1" s="18" t="inlineStr">
        <is>
          <t>Proposed URL</t>
        </is>
      </c>
      <c r="D1" s="18" t="inlineStr">
        <is>
          <t>Target queries</t>
        </is>
      </c>
      <c r="E1" s="18" t="inlineStr">
        <is>
          <t>Intent</t>
        </is>
      </c>
      <c r="F1" s="18" t="inlineStr">
        <is>
          <t>Priority</t>
        </is>
      </c>
      <c r="G1" s="18" t="inlineStr">
        <is>
          <t>Brief / key elements</t>
        </is>
      </c>
      <c r="H1" s="18" t="inlineStr">
        <is>
          <t>Owner</t>
        </is>
      </c>
      <c r="I1" s="18" t="inlineStr">
        <is>
          <t>Status</t>
        </is>
      </c>
    </row>
    <row r="2">
      <c r="A2" s="19" t="inlineStr">
        <is>
          <t>A</t>
        </is>
      </c>
      <c r="B2" s="19" t="inlineStr">
        <is>
          <t>Comparison</t>
        </is>
      </c>
      <c r="C2" s="19" t="inlineStr">
        <is>
          <t>/compare/crewhu-vs-simplesat</t>
        </is>
      </c>
      <c r="D2" s="19" t="inlineStr">
        <is>
          <t>crewhu vs simplesat, simplesat alternative</t>
        </is>
      </c>
      <c r="E2" s="19" t="inlineStr">
        <is>
          <t>Transactional</t>
        </is>
      </c>
      <c r="F2" s="19" t="inlineStr">
        <is>
          <t>Critical</t>
        </is>
      </c>
      <c r="G2" s="19" t="inlineStr">
        <is>
          <t>Positioning (feedback-only vs feedback + recognition + gamification), feature table, pricing, best-fit, quotes, FAQ</t>
        </is>
      </c>
      <c r="H2" s="20" t="inlineStr"/>
      <c r="I2" s="20" t="inlineStr">
        <is>
          <t>Not started</t>
        </is>
      </c>
    </row>
    <row r="3">
      <c r="A3" s="19" t="inlineStr">
        <is>
          <t>A</t>
        </is>
      </c>
      <c r="B3" s="19" t="inlineStr">
        <is>
          <t>Comparison</t>
        </is>
      </c>
      <c r="C3" s="19" t="inlineStr">
        <is>
          <t>/compare/crewhu-vs-smileback</t>
        </is>
      </c>
      <c r="D3" s="19" t="inlineStr">
        <is>
          <t>crewhu vs smileback, smileback alternative</t>
        </is>
      </c>
      <c r="E3" s="19" t="inlineStr">
        <is>
          <t>Transactional</t>
        </is>
      </c>
      <c r="F3" s="19" t="inlineStr">
        <is>
          <t>Critical</t>
        </is>
      </c>
      <c r="G3" s="19" t="inlineStr">
        <is>
          <t>Same template</t>
        </is>
      </c>
      <c r="H3" s="20" t="inlineStr"/>
      <c r="I3" s="20" t="inlineStr">
        <is>
          <t>Not started</t>
        </is>
      </c>
    </row>
    <row r="4">
      <c r="A4" s="19" t="inlineStr">
        <is>
          <t>A</t>
        </is>
      </c>
      <c r="B4" s="19" t="inlineStr">
        <is>
          <t>Comparison</t>
        </is>
      </c>
      <c r="C4" s="19" t="inlineStr">
        <is>
          <t>/compare/crewhu-vs-bonusly</t>
        </is>
      </c>
      <c r="D4" s="19" t="inlineStr">
        <is>
          <t>bonusly vs crewhu</t>
        </is>
      </c>
      <c r="E4" s="19" t="inlineStr">
        <is>
          <t>Transactional</t>
        </is>
      </c>
      <c r="F4" s="19" t="inlineStr">
        <is>
          <t>Important</t>
        </is>
      </c>
      <c r="G4" s="19" t="inlineStr">
        <is>
          <t>Same template; recognition angle</t>
        </is>
      </c>
      <c r="H4" s="20" t="inlineStr"/>
      <c r="I4" s="20" t="inlineStr">
        <is>
          <t>Not started</t>
        </is>
      </c>
    </row>
    <row r="5">
      <c r="A5" s="19" t="inlineStr">
        <is>
          <t>A</t>
        </is>
      </c>
      <c r="B5" s="19" t="inlineStr">
        <is>
          <t>Comparison</t>
        </is>
      </c>
      <c r="C5" s="19" t="inlineStr">
        <is>
          <t>/compare/crewhu-vs-nicereply</t>
        </is>
      </c>
      <c r="D5" s="19" t="inlineStr">
        <is>
          <t>nicereply alternative msp</t>
        </is>
      </c>
      <c r="E5" s="19" t="inlineStr">
        <is>
          <t>Transactional</t>
        </is>
      </c>
      <c r="F5" s="19" t="inlineStr">
        <is>
          <t>Important</t>
        </is>
      </c>
      <c r="G5" s="19" t="inlineStr">
        <is>
          <t>Same template</t>
        </is>
      </c>
      <c r="H5" s="20" t="inlineStr"/>
      <c r="I5" s="20" t="inlineStr">
        <is>
          <t>Not started</t>
        </is>
      </c>
    </row>
    <row r="6">
      <c r="A6" s="19" t="inlineStr">
        <is>
          <t>A</t>
        </is>
      </c>
      <c r="B6" s="19" t="inlineStr">
        <is>
          <t>Alternatives</t>
        </is>
      </c>
      <c r="C6" s="19" t="inlineStr">
        <is>
          <t>/smileback-alternatives, /simplesat-alternatives</t>
        </is>
      </c>
      <c r="D6" s="19" t="inlineStr">
        <is>
          <t>smileback alternatives, simplesat alternatives</t>
        </is>
      </c>
      <c r="E6" s="19" t="inlineStr">
        <is>
          <t>Commercial</t>
        </is>
      </c>
      <c r="F6" s="19" t="inlineStr">
        <is>
          <t>Important</t>
        </is>
      </c>
      <c r="G6" s="19" t="inlineStr">
        <is>
          <t>Fair roundup listing Crewhu first with clear best-fit guidance</t>
        </is>
      </c>
      <c r="H6" s="20" t="inlineStr"/>
      <c r="I6" s="20" t="inlineStr">
        <is>
          <t>Not started</t>
        </is>
      </c>
    </row>
    <row r="7">
      <c r="A7" s="19" t="inlineStr">
        <is>
          <t>B</t>
        </is>
      </c>
      <c r="B7" s="19" t="inlineStr">
        <is>
          <t>Integration</t>
        </is>
      </c>
      <c r="C7" s="19" t="inlineStr">
        <is>
          <t>/integrations/connectwise</t>
        </is>
      </c>
      <c r="D7" s="19" t="inlineStr">
        <is>
          <t>connectwise csat survey, connectwise nps</t>
        </is>
      </c>
      <c r="E7" s="19" t="inlineStr">
        <is>
          <t>Commercial</t>
        </is>
      </c>
      <c r="F7" s="19" t="inlineStr">
        <is>
          <t>Critical</t>
        </is>
      </c>
      <c r="G7" s="19" t="inlineStr">
        <is>
          <t>What syncs, write-back to notes/custom fields, setup time, screenshot, quote, help-doc link</t>
        </is>
      </c>
      <c r="H7" s="20" t="inlineStr"/>
      <c r="I7" s="20" t="inlineStr">
        <is>
          <t>Not started</t>
        </is>
      </c>
    </row>
    <row r="8">
      <c r="A8" s="19" t="inlineStr">
        <is>
          <t>B</t>
        </is>
      </c>
      <c r="B8" s="19" t="inlineStr">
        <is>
          <t>Integration</t>
        </is>
      </c>
      <c r="C8" s="19" t="inlineStr">
        <is>
          <t>/integrations/autotask</t>
        </is>
      </c>
      <c r="D8" s="19" t="inlineStr">
        <is>
          <t>autotask csat survey</t>
        </is>
      </c>
      <c r="E8" s="19" t="inlineStr">
        <is>
          <t>Commercial</t>
        </is>
      </c>
      <c r="F8" s="19" t="inlineStr">
        <is>
          <t>Critical</t>
        </is>
      </c>
      <c r="G8" s="19" t="inlineStr">
        <is>
          <t>Same template</t>
        </is>
      </c>
      <c r="H8" s="20" t="inlineStr"/>
      <c r="I8" s="20" t="inlineStr">
        <is>
          <t>Not started</t>
        </is>
      </c>
    </row>
    <row r="9">
      <c r="A9" s="19" t="inlineStr">
        <is>
          <t>B</t>
        </is>
      </c>
      <c r="B9" s="19" t="inlineStr">
        <is>
          <t>Integration</t>
        </is>
      </c>
      <c r="C9" s="19" t="inlineStr">
        <is>
          <t>/integrations/halopsa</t>
        </is>
      </c>
      <c r="D9" s="19" t="inlineStr">
        <is>
          <t>halopsa csat survey</t>
        </is>
      </c>
      <c r="E9" s="19" t="inlineStr">
        <is>
          <t>Commercial</t>
        </is>
      </c>
      <c r="F9" s="19" t="inlineStr">
        <is>
          <t>Important</t>
        </is>
      </c>
      <c r="G9" s="19" t="inlineStr">
        <is>
          <t>Same template; reference new custom-field write-back</t>
        </is>
      </c>
      <c r="H9" s="20" t="inlineStr"/>
      <c r="I9" s="20" t="inlineStr">
        <is>
          <t>Not started</t>
        </is>
      </c>
    </row>
    <row r="10">
      <c r="A10" s="19" t="inlineStr">
        <is>
          <t>B</t>
        </is>
      </c>
      <c r="B10" s="19" t="inlineStr">
        <is>
          <t>Integration</t>
        </is>
      </c>
      <c r="C10" s="19" t="inlineStr">
        <is>
          <t>/integrations/kaseya-bms, /syncro, /zendesk, /freshdesk, /cloudradial</t>
        </is>
      </c>
      <c r="D10" s="19" t="inlineStr">
        <is>
          <t>&lt;psa&gt; csat survey</t>
        </is>
      </c>
      <c r="E10" s="19" t="inlineStr">
        <is>
          <t>Commercial</t>
        </is>
      </c>
      <c r="F10" s="19" t="inlineStr">
        <is>
          <t>Important</t>
        </is>
      </c>
      <c r="G10" s="19" t="inlineStr">
        <is>
          <t>Same template</t>
        </is>
      </c>
      <c r="H10" s="20" t="inlineStr"/>
      <c r="I10" s="20" t="inlineStr">
        <is>
          <t>Not started</t>
        </is>
      </c>
    </row>
    <row r="11">
      <c r="A11" s="19" t="inlineStr">
        <is>
          <t>B</t>
        </is>
      </c>
      <c r="B11" s="19" t="inlineStr">
        <is>
          <t>Integration</t>
        </is>
      </c>
      <c r="C11" s="19" t="inlineStr">
        <is>
          <t>/integrations/teams, /slack, /brightgauge, /it-glue, /power-bi</t>
        </is>
      </c>
      <c r="D11" s="19" t="inlineStr">
        <is>
          <t>&lt;tool&gt; recognition / csat dashboard</t>
        </is>
      </c>
      <c r="E11" s="19" t="inlineStr">
        <is>
          <t>Commercial</t>
        </is>
      </c>
      <c r="F11" s="19" t="inlineStr">
        <is>
          <t>Nice-to-have</t>
        </is>
      </c>
      <c r="G11" s="19" t="inlineStr">
        <is>
          <t>Same template</t>
        </is>
      </c>
      <c r="H11" s="20" t="inlineStr"/>
      <c r="I11" s="20" t="inlineStr">
        <is>
          <t>Not started</t>
        </is>
      </c>
    </row>
    <row r="12">
      <c r="A12" s="19" t="inlineStr">
        <is>
          <t>C</t>
        </is>
      </c>
      <c r="B12" s="19" t="inlineStr">
        <is>
          <t>Solution</t>
        </is>
      </c>
      <c r="C12" s="19" t="inlineStr">
        <is>
          <t>/solutions/google-review-generation-for-msps</t>
        </is>
      </c>
      <c r="D12" s="19" t="inlineStr">
        <is>
          <t>msp review software, get google reviews msp</t>
        </is>
      </c>
      <c r="E12" s="19" t="inlineStr">
        <is>
          <t>Commercial</t>
        </is>
      </c>
      <c r="F12" s="19" t="inlineStr">
        <is>
          <t>Important</t>
        </is>
      </c>
      <c r="G12" s="19" t="inlineStr">
        <is>
          <t>GO2 Tech 600% proof; compliant (no review gating) positioning</t>
        </is>
      </c>
      <c r="H12" s="20" t="inlineStr"/>
      <c r="I12" s="20" t="inlineStr">
        <is>
          <t>Not started</t>
        </is>
      </c>
    </row>
    <row r="13">
      <c r="A13" s="19" t="inlineStr">
        <is>
          <t>C</t>
        </is>
      </c>
      <c r="B13" s="19" t="inlineStr">
        <is>
          <t>Solution</t>
        </is>
      </c>
      <c r="C13" s="19" t="inlineStr">
        <is>
          <t>/solutions/technician-retention</t>
        </is>
      </c>
      <c r="D13" s="19" t="inlineStr">
        <is>
          <t>msp technician retention, help desk burnout</t>
        </is>
      </c>
      <c r="E13" s="19" t="inlineStr">
        <is>
          <t>Informational</t>
        </is>
      </c>
      <c r="F13" s="19" t="inlineStr">
        <is>
          <t>Important</t>
        </is>
      </c>
      <c r="G13" s="19" t="inlineStr">
        <is>
          <t>Cite Auvik (60% burned out), Gallup (2.6x job seeking)</t>
        </is>
      </c>
      <c r="H13" s="20" t="inlineStr"/>
      <c r="I13" s="20" t="inlineStr">
        <is>
          <t>Not started</t>
        </is>
      </c>
    </row>
    <row r="14">
      <c r="A14" s="19" t="inlineStr">
        <is>
          <t>C</t>
        </is>
      </c>
      <c r="B14" s="19" t="inlineStr">
        <is>
          <t>Solution</t>
        </is>
      </c>
      <c r="C14" s="19" t="inlineStr">
        <is>
          <t>/solutions/nps-for-msps</t>
        </is>
      </c>
      <c r="D14" s="19" t="inlineStr">
        <is>
          <t>nps for msps, relational nps survey</t>
        </is>
      </c>
      <c r="E14" s="19" t="inlineStr">
        <is>
          <t>Commercial</t>
        </is>
      </c>
      <c r="F14" s="19" t="inlineStr">
        <is>
          <t>Important</t>
        </is>
      </c>
      <c r="G14" s="19" t="inlineStr">
        <is>
          <t>Link NPS benchmarks blog post</t>
        </is>
      </c>
      <c r="H14" s="20" t="inlineStr"/>
      <c r="I14" s="20" t="inlineStr">
        <is>
          <t>Not started</t>
        </is>
      </c>
    </row>
    <row r="15">
      <c r="A15" s="19" t="inlineStr">
        <is>
          <t>C</t>
        </is>
      </c>
      <c r="B15" s="19" t="inlineStr">
        <is>
          <t>Solution</t>
        </is>
      </c>
      <c r="C15" s="19" t="inlineStr">
        <is>
          <t>/gamification</t>
        </is>
      </c>
      <c r="D15" s="19" t="inlineStr">
        <is>
          <t>help desk gamification, technician leaderboard</t>
        </is>
      </c>
      <c r="E15" s="19" t="inlineStr">
        <is>
          <t>Commercial</t>
        </is>
      </c>
      <c r="F15" s="19" t="inlineStr">
        <is>
          <t>Important</t>
        </is>
      </c>
      <c r="G15" s="19" t="inlineStr">
        <is>
          <t>Expand current /gamify-your-metrics page</t>
        </is>
      </c>
      <c r="H15" s="20" t="inlineStr"/>
      <c r="I15" s="20" t="inlineStr">
        <is>
          <t>Not started</t>
        </is>
      </c>
    </row>
    <row r="16">
      <c r="A16" s="19" t="inlineStr">
        <is>
          <t>D</t>
        </is>
      </c>
      <c r="B16" s="19" t="inlineStr">
        <is>
          <t>Proof</t>
        </is>
      </c>
      <c r="C16" s="19" t="inlineStr">
        <is>
          <t>/customers (hub) + Kraft + ACE IT pages</t>
        </is>
      </c>
      <c r="D16" s="19" t="inlineStr">
        <is>
          <t>crewhu case study, msp csat case study</t>
        </is>
      </c>
      <c r="E16" s="19" t="inlineStr">
        <is>
          <t>Commercial</t>
        </is>
      </c>
      <c r="F16" s="19" t="inlineStr">
        <is>
          <t>Important</t>
        </is>
      </c>
      <c r="G16" s="19" t="inlineStr">
        <is>
          <t>Metric-led titles, e.g. 'How ACE IT Hit 99% CSAT and Cut Stale Tickets 50%'</t>
        </is>
      </c>
      <c r="H16" s="20" t="inlineStr"/>
      <c r="I16" s="20" t="inlineStr">
        <is>
          <t>Not started</t>
        </is>
      </c>
    </row>
    <row r="17">
      <c r="A17" s="19" t="inlineStr">
        <is>
          <t>E</t>
        </is>
      </c>
      <c r="B17" s="19" t="inlineStr">
        <is>
          <t>Linkable asset</t>
        </is>
      </c>
      <c r="C17" s="19" t="inlineStr">
        <is>
          <t>/msp-csat-nps-benchmark-report</t>
        </is>
      </c>
      <c r="D17" s="19" t="inlineStr">
        <is>
          <t>msp csat benchmark, it services nps benchmark</t>
        </is>
      </c>
      <c r="E17" s="19" t="inlineStr">
        <is>
          <t>Informational</t>
        </is>
      </c>
      <c r="F17" s="19" t="inlineStr">
        <is>
          <t>Important</t>
        </is>
      </c>
      <c r="G17" s="19" t="inlineStr">
        <is>
          <t>Anonymized platform data; annual; pitch to MSP media</t>
        </is>
      </c>
      <c r="H17" s="20" t="inlineStr"/>
      <c r="I17" s="20" t="inlineStr">
        <is>
          <t>Not started</t>
        </is>
      </c>
    </row>
    <row r="18">
      <c r="A18" s="19" t="inlineStr">
        <is>
          <t>E</t>
        </is>
      </c>
      <c r="B18" s="19" t="inlineStr">
        <is>
          <t>Tool</t>
        </is>
      </c>
      <c r="C18" s="19" t="inlineStr">
        <is>
          <t>/tools/nps-calculator</t>
        </is>
      </c>
      <c r="D18" s="19" t="inlineStr">
        <is>
          <t>nps calculator</t>
        </is>
      </c>
      <c r="E18" s="19" t="inlineStr">
        <is>
          <t>Informational</t>
        </is>
      </c>
      <c r="F18" s="19" t="inlineStr">
        <is>
          <t>Nice-to-have</t>
        </is>
      </c>
      <c r="G18" s="19" t="inlineStr">
        <is>
          <t>Simple calculator + CTA</t>
        </is>
      </c>
      <c r="H18" s="20" t="inlineStr"/>
      <c r="I18" s="20" t="inlineStr">
        <is>
          <t>Not started</t>
        </is>
      </c>
    </row>
    <row r="19">
      <c r="A19" s="19" t="inlineStr">
        <is>
          <t>E</t>
        </is>
      </c>
      <c r="B19" s="19" t="inlineStr">
        <is>
          <t>Tool</t>
        </is>
      </c>
      <c r="C19" s="19" t="inlineStr">
        <is>
          <t>/tools/google-review-link-generator</t>
        </is>
      </c>
      <c r="D19" s="19" t="inlineStr">
        <is>
          <t>google review link generator</t>
        </is>
      </c>
      <c r="E19" s="19" t="inlineStr">
        <is>
          <t>Informational</t>
        </is>
      </c>
      <c r="F19" s="19" t="inlineStr">
        <is>
          <t>Nice-to-have</t>
        </is>
      </c>
      <c r="G19" s="19" t="inlineStr">
        <is>
          <t>Link + QR generator for MSPs</t>
        </is>
      </c>
      <c r="H19" s="20" t="inlineStr"/>
      <c r="I19" s="20" t="inlineStr">
        <is>
          <t>Not started</t>
        </is>
      </c>
    </row>
    <row r="20">
      <c r="A20" s="19" t="inlineStr">
        <is>
          <t>E</t>
        </is>
      </c>
      <c r="B20" s="19" t="inlineStr">
        <is>
          <t>Template</t>
        </is>
      </c>
      <c r="C20" s="19" t="inlineStr">
        <is>
          <t>/resources/msp-csat-survey-templates</t>
        </is>
      </c>
      <c r="D20" s="19" t="inlineStr">
        <is>
          <t>csat survey template msp</t>
        </is>
      </c>
      <c r="E20" s="19" t="inlineStr">
        <is>
          <t>Informational</t>
        </is>
      </c>
      <c r="F20" s="19" t="inlineStr">
        <is>
          <t>Nice-to-have</t>
        </is>
      </c>
      <c r="G20" s="19" t="inlineStr">
        <is>
          <t>Downloadable/copyable templates</t>
        </is>
      </c>
      <c r="H20" s="20" t="inlineStr"/>
      <c r="I20" s="20" t="inlineStr">
        <is>
          <t>Not started</t>
        </is>
      </c>
    </row>
  </sheetData>
  <autoFilter ref="A1:I20"/>
  <conditionalFormatting sqref="F2:F20">
    <cfRule type="cellIs" priority="1" operator="equal" dxfId="0">
      <formula>"Critical"</formula>
    </cfRule>
    <cfRule type="cellIs" priority="2" operator="equal" dxfId="1">
      <formula>"Important"</formula>
    </cfRule>
    <cfRule type="cellIs" priority="3" operator="equal" dxfId="2">
      <formula>"Nice-to-have"</formula>
    </cfRule>
  </conditionalFormatting>
  <dataValidations count="1">
    <dataValidation sqref="I2:I20" showDropDown="0" showInputMessage="0" showErrorMessage="0" allowBlank="0" type="list">
      <formula1>"Not started,Briefed,Drafting,Published"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70" customWidth="1" min="3" max="3"/>
    <col width="9" customWidth="1" min="4" max="4"/>
  </cols>
  <sheetData>
    <row r="1">
      <c r="A1" s="18" t="inlineStr">
        <is>
          <t>URL</t>
        </is>
      </c>
      <c r="B1" s="18" t="inlineStr">
        <is>
          <t>Action</t>
        </is>
      </c>
      <c r="C1" s="18" t="inlineStr">
        <is>
          <t>Notes</t>
        </is>
      </c>
      <c r="D1" s="18" t="inlineStr">
        <is>
          <t>Done?</t>
        </is>
      </c>
    </row>
    <row r="2">
      <c r="A2" s="19" t="inlineStr">
        <is>
          <t>/blog/a-guide-to-employee-recognition-platforms-and-improving-your-bottom-line</t>
        </is>
      </c>
      <c r="B2" s="19" t="inlineStr">
        <is>
          <t>Merge</t>
        </is>
      </c>
      <c r="C2" s="19" t="inlineStr">
        <is>
          <t>301 into /blog/employee-recognition-software (cannibalization)</t>
        </is>
      </c>
      <c r="D2" s="20" t="inlineStr"/>
    </row>
    <row r="3">
      <c r="A3" s="19" t="inlineStr">
        <is>
          <t>/blog/games-for-employee-training</t>
        </is>
      </c>
      <c r="B3" s="19" t="inlineStr">
        <is>
          <t>Refresh or prune</t>
        </is>
      </c>
      <c r="C3" s="19" t="inlineStr">
        <is>
          <t>2023, off-topic; reframe for MSP technician training or noindex if no traffic</t>
        </is>
      </c>
      <c r="D3" s="20" t="inlineStr"/>
    </row>
    <row r="4">
      <c r="A4" s="19" t="inlineStr">
        <is>
          <t>/blog/smart-goal-examples-for-employees</t>
        </is>
      </c>
      <c r="B4" s="19" t="inlineStr">
        <is>
          <t>Refresh</t>
        </is>
      </c>
      <c r="C4" s="19" t="inlineStr">
        <is>
          <t>Reframe: 'SMART Goal Examples for MSP Technicians'; link to /gamification</t>
        </is>
      </c>
      <c r="D4" s="20" t="inlineStr"/>
    </row>
    <row r="5">
      <c r="A5" s="19" t="inlineStr">
        <is>
          <t>/blog/ebitda-for-msps</t>
        </is>
      </c>
      <c r="B5" s="19" t="inlineStr">
        <is>
          <t>Keep + link</t>
        </is>
      </c>
      <c r="C5" s="19" t="inlineStr">
        <is>
          <t>Relevant to MSP owners; fix date inconsistency; link to retention/CSAT pages</t>
        </is>
      </c>
      <c r="D5" s="20" t="inlineStr"/>
    </row>
    <row r="6">
      <c r="A6" s="19" t="inlineStr">
        <is>
          <t>/blog/the-daily-huddle-a-game-changer-for-company-culture</t>
        </is>
      </c>
      <c r="B6" s="19" t="inlineStr">
        <is>
          <t>Refresh</t>
        </is>
      </c>
      <c r="C6" s="19" t="inlineStr">
        <is>
          <t>Add MSP service-desk angle; link to recognition product</t>
        </is>
      </c>
      <c r="D6" s="20" t="inlineStr"/>
    </row>
    <row r="7">
      <c r="A7" s="19" t="inlineStr">
        <is>
          <t>/blog/how-testimonials-reviews-help-sales-marketing</t>
        </is>
      </c>
      <c r="B7" s="19" t="inlineStr">
        <is>
          <t>Refresh + link</t>
        </is>
      </c>
      <c r="C7" s="19" t="inlineStr">
        <is>
          <t>2022; link to Google-reviews solution page and GO2 Tech</t>
        </is>
      </c>
      <c r="D7" s="20" t="inlineStr"/>
    </row>
    <row r="8">
      <c r="A8" s="19" t="inlineStr">
        <is>
          <t>/blog/how-to-get-more-google-reviews</t>
        </is>
      </c>
      <c r="B8" s="19" t="inlineStr">
        <is>
          <t>Protect + link</t>
        </is>
      </c>
      <c r="C8" s="19" t="inlineStr">
        <is>
          <t>Ranks #1; add links to GO2 Tech case study and trial</t>
        </is>
      </c>
      <c r="D8" s="20" t="inlineStr"/>
    </row>
    <row r="9">
      <c r="A9" s="19" t="inlineStr">
        <is>
          <t>/blog/employee-recognition-software</t>
        </is>
      </c>
      <c r="B9" s="19" t="inlineStr">
        <is>
          <t>Protect + link</t>
        </is>
      </c>
      <c r="C9" s="19" t="inlineStr">
        <is>
          <t>Ranks for 'employee recognition software for MSPs'; keep updated yearly</t>
        </is>
      </c>
      <c r="D9" s="20" t="inlineStr"/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44" customWidth="1" min="4" max="4"/>
    <col width="15" customWidth="1" min="5" max="5"/>
    <col width="17" customWidth="1" min="6" max="6"/>
    <col width="13" customWidth="1" min="7" max="7"/>
  </cols>
  <sheetData>
    <row r="1">
      <c r="A1" s="18" t="inlineStr">
        <is>
          <t>Cluster</t>
        </is>
      </c>
      <c r="B1" s="18" t="inlineStr">
        <is>
          <t>Example queries</t>
        </is>
      </c>
      <c r="C1" s="18" t="inlineStr">
        <is>
          <t>Intent</t>
        </is>
      </c>
      <c r="D1" s="18" t="inlineStr">
        <is>
          <t>Target page</t>
        </is>
      </c>
      <c r="E1" s="18" t="inlineStr">
        <is>
          <t>Monthly volume</t>
        </is>
      </c>
      <c r="F1" s="18" t="inlineStr">
        <is>
          <t>Keyword difficulty</t>
        </is>
      </c>
      <c r="G1" s="18" t="inlineStr">
        <is>
          <t>Current rank</t>
        </is>
      </c>
    </row>
    <row r="2">
      <c r="A2" s="19" t="inlineStr">
        <is>
          <t>CSAT for MSPs</t>
        </is>
      </c>
      <c r="B2" s="19" t="inlineStr">
        <is>
          <t>csat software for msps; msp customer satisfaction survey; csat survey tool connectwise</t>
        </is>
      </c>
      <c r="C2" s="19" t="inlineStr">
        <is>
          <t>Commercial</t>
        </is>
      </c>
      <c r="D2" s="19" t="inlineStr">
        <is>
          <t>/csat-surveys + /integrations/*</t>
        </is>
      </c>
      <c r="E2" s="20" t="n"/>
      <c r="F2" s="20" t="n"/>
      <c r="G2" s="20" t="n"/>
    </row>
    <row r="3">
      <c r="A3" s="19" t="inlineStr">
        <is>
          <t>NPS</t>
        </is>
      </c>
      <c r="B3" s="19" t="inlineStr">
        <is>
          <t>nps for msps; relational nps survey; good nps score it services</t>
        </is>
      </c>
      <c r="C3" s="19" t="inlineStr">
        <is>
          <t>Commercial / Info</t>
        </is>
      </c>
      <c r="D3" s="19" t="inlineStr">
        <is>
          <t>/solutions/nps-for-msps; NPS benchmarks post</t>
        </is>
      </c>
      <c r="E3" s="20" t="n"/>
      <c r="F3" s="20" t="n"/>
      <c r="G3" s="20" t="n"/>
    </row>
    <row r="4">
      <c r="A4" s="19" t="inlineStr">
        <is>
          <t>Recognition</t>
        </is>
      </c>
      <c r="B4" s="19" t="inlineStr">
        <is>
          <t>employee recognition software for msps; technician recognition program</t>
        </is>
      </c>
      <c r="C4" s="19" t="inlineStr">
        <is>
          <t>Commercial</t>
        </is>
      </c>
      <c r="D4" s="19" t="inlineStr">
        <is>
          <t>/employee-recognition + comparison blog post</t>
        </is>
      </c>
      <c r="E4" s="20" t="n"/>
      <c r="F4" s="20" t="n"/>
      <c r="G4" s="20" t="n"/>
    </row>
    <row r="5">
      <c r="A5" s="19" t="inlineStr">
        <is>
          <t>Gamification</t>
        </is>
      </c>
      <c r="B5" s="19" t="inlineStr">
        <is>
          <t>gamification for help desk; technician leaderboard; service desk gamification</t>
        </is>
      </c>
      <c r="C5" s="19" t="inlineStr">
        <is>
          <t>Commercial</t>
        </is>
      </c>
      <c r="D5" s="19" t="inlineStr">
        <is>
          <t>/gamification</t>
        </is>
      </c>
      <c r="E5" s="20" t="n"/>
      <c r="F5" s="20" t="n"/>
      <c r="G5" s="20" t="n"/>
    </row>
    <row r="6">
      <c r="A6" s="19" t="inlineStr">
        <is>
          <t>Reviews</t>
        </is>
      </c>
      <c r="B6" s="19" t="inlineStr">
        <is>
          <t>how to get google reviews msp; msp review software</t>
        </is>
      </c>
      <c r="C6" s="19" t="inlineStr">
        <is>
          <t>Info / Commercial</t>
        </is>
      </c>
      <c r="D6" s="19" t="inlineStr">
        <is>
          <t>Reviews blog post + review-generation solution page</t>
        </is>
      </c>
      <c r="E6" s="20" t="n"/>
      <c r="F6" s="20" t="n"/>
      <c r="G6" s="20" t="n"/>
    </row>
    <row r="7">
      <c r="A7" s="19" t="inlineStr">
        <is>
          <t>Comparisons</t>
        </is>
      </c>
      <c r="B7" s="19" t="inlineStr">
        <is>
          <t>crewhu vs smileback; simplesat alternative; smileback alternatives</t>
        </is>
      </c>
      <c r="C7" s="19" t="inlineStr">
        <is>
          <t>Transactional</t>
        </is>
      </c>
      <c r="D7" s="19" t="inlineStr">
        <is>
          <t>/compare/*</t>
        </is>
      </c>
      <c r="E7" s="20" t="n"/>
      <c r="F7" s="20" t="n"/>
      <c r="G7" s="20" t="n"/>
    </row>
    <row r="8">
      <c r="A8" s="19" t="inlineStr">
        <is>
          <t>Retention</t>
        </is>
      </c>
      <c r="B8" s="19" t="inlineStr">
        <is>
          <t>msp technician retention; help desk burnout</t>
        </is>
      </c>
      <c r="C8" s="19" t="inlineStr">
        <is>
          <t>Informational</t>
        </is>
      </c>
      <c r="D8" s="19" t="inlineStr">
        <is>
          <t>Retention solution page + blog</t>
        </is>
      </c>
      <c r="E8" s="20" t="n"/>
      <c r="F8" s="20" t="n"/>
      <c r="G8" s="20" t="n"/>
    </row>
    <row r="10">
      <c r="A10" s="17" t="inlineStr">
        <is>
          <t>Volume, difficulty and rank were not available in this audit – fill from Ahrefs, Semrush or Google Keyword Planner.</t>
        </is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42" customWidth="1" min="3" max="3"/>
    <col width="40" customWidth="1" min="4" max="4"/>
  </cols>
  <sheetData>
    <row r="1">
      <c r="A1" s="18" t="inlineStr">
        <is>
          <t>Check</t>
        </is>
      </c>
      <c r="B1" s="18" t="inlineStr">
        <is>
          <t>Why not verified</t>
        </is>
      </c>
      <c r="C1" s="18" t="inlineStr">
        <is>
          <t>Tool</t>
        </is>
      </c>
      <c r="D1" s="18" t="inlineStr">
        <is>
          <t>Result / Notes</t>
        </is>
      </c>
    </row>
    <row r="2">
      <c r="A2" s="19" t="inlineStr">
        <is>
          <t>Raw HTML: meta descriptions, H1s, canonicals, alt text, schema</t>
        </is>
      </c>
      <c r="B2" s="19" t="inlineStr">
        <is>
          <t>crewhu.com blocked by audit network policy</t>
        </is>
      </c>
      <c r="C2" s="19" t="inlineStr">
        <is>
          <t>Screaming Frog; Google Rich Results Test</t>
        </is>
      </c>
      <c r="D2" s="20" t="inlineStr"/>
    </row>
    <row r="3">
      <c r="A3" s="19" t="inlineStr">
        <is>
          <t>robots.txt / XML sitemap contents</t>
        </is>
      </c>
      <c r="B3" s="19" t="inlineStr">
        <is>
          <t>Same</t>
        </is>
      </c>
      <c r="C3" s="19" t="inlineStr">
        <is>
          <t>Open /robots.txt and /sitemap.xml; GSC &gt; Sitemaps</t>
        </is>
      </c>
      <c r="D3" s="20" t="inlineStr"/>
    </row>
    <row r="4">
      <c r="A4" s="19" t="inlineStr">
        <is>
          <t>Index coverage, duplicates, queries</t>
        </is>
      </c>
      <c r="B4" s="19" t="inlineStr">
        <is>
          <t>Requires owner access</t>
        </is>
      </c>
      <c r="C4" s="19" t="inlineStr">
        <is>
          <t>Google Search Console &gt; Pages, Performance</t>
        </is>
      </c>
      <c r="D4" s="20" t="inlineStr"/>
    </row>
    <row r="5">
      <c r="A5" s="19" t="inlineStr">
        <is>
          <t>Core Web Vitals</t>
        </is>
      </c>
      <c r="B5" s="19" t="inlineStr">
        <is>
          <t>Requires live render</t>
        </is>
      </c>
      <c r="C5" s="19" t="inlineStr">
        <is>
          <t>PageSpeed Insights; CrUX in GSC</t>
        </is>
      </c>
      <c r="D5" s="20" t="inlineStr"/>
    </row>
    <row r="6">
      <c r="A6" s="19" t="inlineStr">
        <is>
          <t>Backlink profile &amp; link gap vs simplesat.io / smileback.com</t>
        </is>
      </c>
      <c r="B6" s="19" t="inlineStr">
        <is>
          <t>Requires link index</t>
        </is>
      </c>
      <c r="C6" s="19" t="inlineStr">
        <is>
          <t>Ahrefs; Semrush</t>
        </is>
      </c>
      <c r="D6" s="20" t="inlineStr"/>
    </row>
    <row r="7">
      <c r="A7" s="19" t="inlineStr">
        <is>
          <t>Keyword volumes</t>
        </is>
      </c>
      <c r="B7" s="19" t="inlineStr">
        <is>
          <t>Not available</t>
        </is>
      </c>
      <c r="C7" s="19" t="inlineStr">
        <is>
          <t>Ahrefs; Semrush; Google Keyword Planner</t>
        </is>
      </c>
      <c r="D7" s="20" t="inlineStr"/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8" t="inlineStr">
        <is>
          <t>Source</t>
        </is>
      </c>
      <c r="B1" s="18" t="inlineStr">
        <is>
          <t>URL</t>
        </is>
      </c>
    </row>
    <row r="2">
      <c r="A2" s="19" t="inlineStr">
        <is>
          <t>Crewhu homepage</t>
        </is>
      </c>
      <c r="B2" s="23" t="inlineStr">
        <is>
          <t>https://www.crewhu.com/</t>
        </is>
      </c>
    </row>
    <row r="3">
      <c r="A3" s="19" t="inlineStr">
        <is>
          <t>Products</t>
        </is>
      </c>
      <c r="B3" s="23" t="inlineStr">
        <is>
          <t>https://www.crewhu.com/products</t>
        </is>
      </c>
    </row>
    <row r="4">
      <c r="A4" s="19" t="inlineStr">
        <is>
          <t>Integrations</t>
        </is>
      </c>
      <c r="B4" s="23" t="inlineStr">
        <is>
          <t>https://www.crewhu.com/integrations</t>
        </is>
      </c>
    </row>
    <row r="5">
      <c r="A5" s="19" t="inlineStr">
        <is>
          <t>Pricing</t>
        </is>
      </c>
      <c r="B5" s="23" t="inlineStr">
        <is>
          <t>https://www.crewhu.com/pricing</t>
        </is>
      </c>
    </row>
    <row r="6">
      <c r="A6" s="19" t="inlineStr">
        <is>
          <t>Start free trial</t>
        </is>
      </c>
      <c r="B6" s="23" t="inlineStr">
        <is>
          <t>https://www.crewhu.com/start-free-trial</t>
        </is>
      </c>
    </row>
    <row r="7">
      <c r="A7" s="19" t="inlineStr">
        <is>
          <t>Free trial 3</t>
        </is>
      </c>
      <c r="B7" s="23" t="inlineStr">
        <is>
          <t>https://www.crewhu.com/free-trial-3</t>
        </is>
      </c>
    </row>
    <row r="8">
      <c r="A8" s="19" t="inlineStr">
        <is>
          <t>Free trial G2</t>
        </is>
      </c>
      <c r="B8" s="23" t="inlineStr">
        <is>
          <t>https://www.crewhu.com/free-trial-g2</t>
        </is>
      </c>
    </row>
    <row r="9">
      <c r="A9" s="19" t="inlineStr">
        <is>
          <t>Book a demo</t>
        </is>
      </c>
      <c r="B9" s="23" t="inlineStr">
        <is>
          <t>https://www.crewhu.com/book-a-crewhu-demo-today</t>
        </is>
      </c>
    </row>
    <row r="10">
      <c r="A10" s="19" t="inlineStr">
        <is>
          <t>GO2 Tech case study</t>
        </is>
      </c>
      <c r="B10" s="23" t="inlineStr">
        <is>
          <t>https://www.crewhu.com/case-study/go2-tech</t>
        </is>
      </c>
    </row>
    <row r="11">
      <c r="A11" s="19" t="inlineStr">
        <is>
          <t>Employee recognition software post</t>
        </is>
      </c>
      <c r="B11" s="23" t="inlineStr">
        <is>
          <t>https://www.crewhu.com/blog/employee-recognition-software</t>
        </is>
      </c>
    </row>
    <row r="12">
      <c r="A12" s="19" t="inlineStr">
        <is>
          <t>Google reviews post</t>
        </is>
      </c>
      <c r="B12" s="23" t="inlineStr">
        <is>
          <t>https://www.crewhu.com/blog/how-to-get-more-google-reviews</t>
        </is>
      </c>
    </row>
    <row r="13">
      <c r="A13" s="19" t="inlineStr">
        <is>
          <t>Ask Ashley</t>
        </is>
      </c>
      <c r="B13" s="23" t="inlineStr">
        <is>
          <t>https://www.crewhu.com/ask-ashley/ask-ashley-take-one</t>
        </is>
      </c>
    </row>
    <row r="14">
      <c r="A14" s="19" t="inlineStr">
        <is>
          <t>Help center integrations</t>
        </is>
      </c>
      <c r="B14" s="23" t="inlineStr">
        <is>
          <t>https://get-help-tnt.crewhu.com/hc/en-us/sections/360000298233-Integrations</t>
        </is>
      </c>
    </row>
    <row r="15">
      <c r="A15" s="19" t="inlineStr">
        <is>
          <t>Simplesat Crewhu alternative</t>
        </is>
      </c>
      <c r="B15" s="23" t="inlineStr">
        <is>
          <t>https://www.simplesat.io/alternatives/crewhu-alternative</t>
        </is>
      </c>
    </row>
    <row r="16">
      <c r="A16" s="19" t="inlineStr">
        <is>
          <t>Simplesat ConnectWise</t>
        </is>
      </c>
      <c r="B16" s="23" t="inlineStr">
        <is>
          <t>https://www.simplesat.io/integrations/connectwise</t>
        </is>
      </c>
    </row>
    <row r="17">
      <c r="A17" s="19" t="inlineStr">
        <is>
          <t>ConnectWise Customer Feedback (SmileBack)</t>
        </is>
      </c>
      <c r="B17" s="23" t="inlineStr">
        <is>
          <t>https://www.connectwise.com/platform/business-management/smileback</t>
        </is>
      </c>
    </row>
    <row r="18">
      <c r="A18" s="19" t="inlineStr">
        <is>
          <t>Capterra</t>
        </is>
      </c>
      <c r="B18" s="23" t="inlineStr">
        <is>
          <t>https://www.capterra.com/p/140426/CrewHu/</t>
        </is>
      </c>
    </row>
    <row r="19">
      <c r="A19" s="19" t="inlineStr">
        <is>
          <t>GetApp</t>
        </is>
      </c>
      <c r="B19" s="23" t="inlineStr">
        <is>
          <t>https://www.getapp.com/hr-employee-management-software/a/crewhu/</t>
        </is>
      </c>
    </row>
    <row r="20">
      <c r="A20" s="19" t="inlineStr">
        <is>
          <t>G2 alternatives</t>
        </is>
      </c>
      <c r="B20" s="23" t="inlineStr">
        <is>
          <t>https://www.g2.com/products/crewhu/competitors/alternatives</t>
        </is>
      </c>
    </row>
    <row r="21">
      <c r="A21" s="19" t="inlineStr">
        <is>
          <t>NetSuite MSP challenges 2026</t>
        </is>
      </c>
      <c r="B21" s="23" t="inlineStr">
        <is>
          <t>https://www.netsuite.com/portal/resource/articles/business-strategy/msp-challenges.shtml</t>
        </is>
      </c>
    </row>
    <row r="22">
      <c r="A22" s="19" t="inlineStr">
        <is>
          <t>LTVplus technician burnout</t>
        </is>
      </c>
      <c r="B22" s="23" t="inlineStr">
        <is>
          <t>https://www.ltvplus.com/msp/msp-technician-burnout/</t>
        </is>
      </c>
    </row>
  </sheetData>
  <autoFilter ref="A1:B2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2026-10-01T11:07:22Z</dcterms:created>
  <dcterms:modified xsi:type="dcterms:W3CDTF">2026-10-01T11:07:22Z</dcterms:modified>
</cp:coreProperties>
</file>