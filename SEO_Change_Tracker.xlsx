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Tracker" sheetId="2" state="visible" r:id="rId4"/>
    <sheet name="Project Summary" sheetId="3" state="visible" r:id="rId5"/>
  </sheets>
  <definedNames>
    <definedName function="false" hidden="true" localSheetId="1" name="_xlnm._FilterDatabase" vbProcedure="false">Tracker!$A$5:$AB$305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Example rows: clicks/impressions supplied by the user from GSC; date range not stated. Add the change date, window length and baseline avg position.</t>
        </r>
      </text>
    </comment>
  </commentList>
</comments>
</file>

<file path=xl/sharedStrings.xml><?xml version="1.0" encoding="utf-8"?>
<sst xmlns="http://schemas.openxmlformats.org/spreadsheetml/2006/main" count="121" uniqueCount="83">
  <si>
    <t xml:space="preserve">SEO Change Tracker</t>
  </si>
  <si>
    <t xml:space="preserve">Log a GSC baseline before an SEO change, then record results at 4 and 8 weeks. One row = one URL × one query.</t>
  </si>
  <si>
    <t xml:space="preserve">How to use</t>
  </si>
  <si>
    <t xml:space="preserve">1. On the Tracker sheet, fill the next empty row. Yellow cells are inputs; white cells calculate automatically.</t>
  </si>
  <si>
    <t xml:space="preserve">2. Give related rows the same Project name (e.g. every URL/query touched by one merge).</t>
  </si>
  <si>
    <t xml:space="preserve">3. Baseline: in GSC → Performance, set a date range ending the day before the change, filter Page = exact URL + Query = exact query. Enter clicks, impressions and avg position.</t>
  </si>
  <si>
    <t xml:space="preserve">4. Enter the window length (days) and use the SAME length for the 4-week and 8-week checks so the comparison is fair.</t>
  </si>
  <si>
    <t xml:space="preserve">5. When 'Next check' comes up, pull the same filters for the post-change window and fill the 4-week (then 8-week) columns.</t>
  </si>
  <si>
    <t xml:space="preserve">6. For a redirected URL, keep its row so the 'before' traffic is counted; set Role = Redirected (301). Add a row for the destination URL on the same query, even if its baseline is 0.</t>
  </si>
  <si>
    <t xml:space="preserve">7. The Project Summary sheet rolls rows up by Project and (optionally) Query. That shows whether the change won overall, e.g. both URLs combined for one query.</t>
  </si>
  <si>
    <t xml:space="preserve">Settings (edit if needed)</t>
  </si>
  <si>
    <t xml:space="preserve">Win threshold (clicks change)</t>
  </si>
  <si>
    <t xml:space="preserve">Latest clicks ≥ baseline × (1 + this) = Win</t>
  </si>
  <si>
    <t xml:space="preserve">Loss threshold (clicks change)</t>
  </si>
  <si>
    <t xml:space="preserve">Latest clicks ≤ baseline × (1 + this) = Loss; between = Neutral</t>
  </si>
  <si>
    <t xml:space="preserve">GSC data lag (days)</t>
  </si>
  <si>
    <t xml:space="preserve">Added to 'Next check' dates because GSC data arrives ~2–3 days late</t>
  </si>
  <si>
    <t xml:space="preserve">4-week check (days after change)</t>
  </si>
  <si>
    <t xml:space="preserve">When the first after-window ends</t>
  </si>
  <si>
    <t xml:space="preserve">8-week check (days after change)</t>
  </si>
  <si>
    <t xml:space="preserve">When the second after-window ends</t>
  </si>
  <si>
    <t xml:space="preserve">Legend</t>
  </si>
  <si>
    <t xml:space="preserve">Input: type here</t>
  </si>
  <si>
    <t xml:space="preserve">Formula: don't edit</t>
  </si>
  <si>
    <t xml:space="preserve">Win</t>
  </si>
  <si>
    <t xml:space="preserve">Loss</t>
  </si>
  <si>
    <t xml:space="preserve">Neutral</t>
  </si>
  <si>
    <t xml:space="preserve">Pending</t>
  </si>
  <si>
    <t xml:space="preserve">Redirected – see target</t>
  </si>
  <si>
    <t xml:space="preserve">Notes</t>
  </si>
  <si>
    <t xml:space="preserve">• Position change = baseline − latest. Positive means the page moved UP (better).</t>
  </si>
  <si>
    <t xml:space="preserve">• CTR change is in percentage points (pp).</t>
  </si>
  <si>
    <t xml:space="preserve">• 'Latest' means the 8-week values if filled in, otherwise the 4-week values.</t>
  </si>
  <si>
    <t xml:space="preserve">• Example rows: clicks and impressions for the two CMMS URLs were supplied by the user from GSC (date range not stated). Fill in the change date, window and baseline positions.</t>
  </si>
  <si>
    <t xml:space="preserve">SEO Change Tracker: GSC baseline vs. results</t>
  </si>
  <si>
    <t xml:space="preserve">Yellow = input. One row per URL × query. Formulas are pre-filled down to row 305; add new rows by filling the next empty line.</t>
  </si>
  <si>
    <t xml:space="preserve">Page &amp; query</t>
  </si>
  <si>
    <t xml:space="preserve">Baseline (before)</t>
  </si>
  <si>
    <t xml:space="preserve">After 4 weeks</t>
  </si>
  <si>
    <t xml:space="preserve">After 8 weeks</t>
  </si>
  <si>
    <t xml:space="preserve">Change: baseline → latest</t>
  </si>
  <si>
    <t xml:space="preserve">Status</t>
  </si>
  <si>
    <t xml:space="preserve">Helpers (used by summary)</t>
  </si>
  <si>
    <t xml:space="preserve">Project</t>
  </si>
  <si>
    <t xml:space="preserve">Change type</t>
  </si>
  <si>
    <t xml:space="preserve">Change date</t>
  </si>
  <si>
    <t xml:space="preserve">URL</t>
  </si>
  <si>
    <t xml:space="preserve">Role</t>
  </si>
  <si>
    <t xml:space="preserve">Query</t>
  </si>
  <si>
    <t xml:space="preserve">Window (days)</t>
  </si>
  <si>
    <t xml:space="preserve">Clicks</t>
  </si>
  <si>
    <t xml:space="preserve">Impr.</t>
  </si>
  <si>
    <t xml:space="preserve">CTR</t>
  </si>
  <si>
    <t xml:space="preserve">Avg pos</t>
  </si>
  <si>
    <t xml:space="preserve">Clicks Δ%</t>
  </si>
  <si>
    <t xml:space="preserve">Impr. Δ%</t>
  </si>
  <si>
    <t xml:space="preserve">CTR Δ (pp)</t>
  </si>
  <si>
    <t xml:space="preserve">Pos. Δ (↑ good)</t>
  </si>
  <si>
    <t xml:space="preserve">Result</t>
  </si>
  <si>
    <t xml:space="preserve">Next check</t>
  </si>
  <si>
    <t xml:space="preserve">Latest clicks</t>
  </si>
  <si>
    <t xml:space="preserve">Latest impr.</t>
  </si>
  <si>
    <t xml:space="preserve">CMMS merge</t>
  </si>
  <si>
    <t xml:space="preserve">Merge + 301</t>
  </si>
  <si>
    <t xml:space="preserve">https://upkeep.com/blog/cmms-comparison/</t>
  </si>
  <si>
    <t xml:space="preserve">Redirected (301)</t>
  </si>
  <si>
    <t xml:space="preserve">cmms comparison</t>
  </si>
  <si>
    <t xml:space="preserve">Redirect into best-cmms-software</t>
  </si>
  <si>
    <t xml:space="preserve">best cmms software</t>
  </si>
  <si>
    <t xml:space="preserve">Cannibalizing the target page's main query</t>
  </si>
  <si>
    <t xml:space="preserve">https://upkeep.com/blog/best-cmms-software/</t>
  </si>
  <si>
    <t xml:space="preserve">Kept (target)</t>
  </si>
  <si>
    <t xml:space="preserve">cmms software</t>
  </si>
  <si>
    <t xml:space="preserve">Target page should pick up this query after the merge; enter its GSC baseline (0 if not ranking)</t>
  </si>
  <si>
    <t xml:space="preserve">Project Summary</t>
  </si>
  <si>
    <t xml:space="preserve">Type a Project (and optionally a Query) in the yellow cells. Blank Query = all queries in that project. Totals include redirected URLs so before/after is like-for-like.</t>
  </si>
  <si>
    <t xml:space="preserve">Query (blank = all)</t>
  </si>
  <si>
    <t xml:space="preserve">Rows</t>
  </si>
  <si>
    <t xml:space="preserve">Baseline clicks</t>
  </si>
  <si>
    <t xml:space="preserve">Baseline impr.</t>
  </si>
  <si>
    <t xml:space="preserve">Rows with results</t>
  </si>
  <si>
    <t xml:space="preserve">Note</t>
  </si>
  <si>
    <t xml:space="preserve">Result shows Pending until every row in the group has 4- or 8-week data (counts blank 'Latest' cells, e.g. a redirected URL with 0 clicks should be entered as 0).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</si>
</sst>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"/>
    <numFmt numFmtId="167" formatCode="yyyy\-mm\-dd"/>
    <numFmt numFmtId="168" formatCode="#,##0"/>
    <numFmt numFmtId="169" formatCode="0.00%"/>
    <numFmt numFmtId="170" formatCode="0.0"/>
    <numFmt numFmtId="171" formatCode="\+0%;\-0%;0%"/>
    <numFmt numFmtId="172" formatCode="\+0.00&quot; pp&quot;;\-0.00&quot; pp&quot;;0.00&quot; pp&quot;"/>
    <numFmt numFmtId="173" formatCode="\+0.0;\-0.0;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8DC"/>
        <bgColor rgb="FFF2F2F2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FCE4D6"/>
      </patternFill>
    </fill>
    <fill>
      <patternFill patternType="solid">
        <fgColor rgb="FFEDEDED"/>
        <bgColor rgb="FFE7ECF3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E7ECF3"/>
      </patternFill>
    </fill>
    <fill>
      <patternFill patternType="solid">
        <fgColor rgb="FFE7ECF3"/>
        <bgColor rgb="FFEDEDED"/>
      </patternFill>
    </fill>
    <fill>
      <patternFill patternType="solid">
        <fgColor rgb="FFE2EFDA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FCE4D6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EAD3"/>
      <rgbColor rgb="FF808080"/>
      <rgbColor rgb="FF9999FF"/>
      <rgbColor rgb="FF993366"/>
      <rgbColor rgb="FFFFF8DC"/>
      <rgbColor rgb="FFDDEB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7ECF3"/>
      <rgbColor rgb="FFFCE4D6"/>
      <rgbColor rgb="FFEDEDED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  <c r="C6" s="4"/>
      <c r="D6" s="4"/>
    </row>
    <row r="7" customFormat="false" ht="27.75" hidden="false" customHeight="true" outlineLevel="0" collapsed="false">
      <c r="B7" s="4" t="s">
        <v>4</v>
      </c>
      <c r="C7" s="4"/>
      <c r="D7" s="4"/>
    </row>
    <row r="8" customFormat="false" ht="27.75" hidden="false" customHeight="true" outlineLevel="0" collapsed="false">
      <c r="B8" s="4" t="s">
        <v>5</v>
      </c>
      <c r="C8" s="4"/>
      <c r="D8" s="4"/>
    </row>
    <row r="9" customFormat="false" ht="27.75" hidden="false" customHeight="true" outlineLevel="0" collapsed="false">
      <c r="B9" s="4" t="s">
        <v>6</v>
      </c>
      <c r="C9" s="4"/>
      <c r="D9" s="4"/>
    </row>
    <row r="10" customFormat="false" ht="27.75" hidden="false" customHeight="true" outlineLevel="0" collapsed="false">
      <c r="B10" s="4" t="s">
        <v>7</v>
      </c>
      <c r="C10" s="4"/>
      <c r="D10" s="4"/>
    </row>
    <row r="11" customFormat="false" ht="27.75" hidden="false" customHeight="true" outlineLevel="0" collapsed="false">
      <c r="B11" s="4" t="s">
        <v>8</v>
      </c>
      <c r="C11" s="4"/>
      <c r="D11" s="4"/>
    </row>
    <row r="12" customFormat="false" ht="27.75" hidden="false" customHeight="true" outlineLevel="0" collapsed="false">
      <c r="B12" s="4" t="s">
        <v>9</v>
      </c>
      <c r="C12" s="4"/>
      <c r="D12" s="4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5" t="s">
        <v>11</v>
      </c>
      <c r="C15" s="6" t="n">
        <v>0.1</v>
      </c>
      <c r="D15" s="7" t="s">
        <v>12</v>
      </c>
    </row>
    <row r="16" customFormat="false" ht="15" hidden="false" customHeight="false" outlineLevel="0" collapsed="false">
      <c r="B16" s="5" t="s">
        <v>13</v>
      </c>
      <c r="C16" s="6" t="n">
        <v>-0.1</v>
      </c>
      <c r="D16" s="7" t="s">
        <v>14</v>
      </c>
    </row>
    <row r="17" customFormat="false" ht="15" hidden="false" customHeight="false" outlineLevel="0" collapsed="false">
      <c r="B17" s="5" t="s">
        <v>15</v>
      </c>
      <c r="C17" s="8" t="n">
        <v>3</v>
      </c>
      <c r="D17" s="7" t="s">
        <v>16</v>
      </c>
    </row>
    <row r="18" customFormat="false" ht="15" hidden="false" customHeight="false" outlineLevel="0" collapsed="false">
      <c r="B18" s="5" t="s">
        <v>17</v>
      </c>
      <c r="C18" s="8" t="n">
        <v>28</v>
      </c>
      <c r="D18" s="7" t="s">
        <v>18</v>
      </c>
    </row>
    <row r="19" customFormat="false" ht="15" hidden="false" customHeight="false" outlineLevel="0" collapsed="false">
      <c r="B19" s="5" t="s">
        <v>19</v>
      </c>
      <c r="C19" s="8" t="n">
        <v>56</v>
      </c>
      <c r="D19" s="7" t="s">
        <v>20</v>
      </c>
    </row>
    <row r="21" customFormat="false" ht="15" hidden="false" customHeight="false" outlineLevel="0" collapsed="false">
      <c r="B21" s="3" t="s">
        <v>21</v>
      </c>
    </row>
    <row r="22" customFormat="false" ht="15" hidden="false" customHeight="false" outlineLevel="0" collapsed="false">
      <c r="B22" s="9" t="s">
        <v>22</v>
      </c>
    </row>
    <row r="23" customFormat="false" ht="15" hidden="false" customHeight="false" outlineLevel="0" collapsed="false">
      <c r="B23" s="10" t="s">
        <v>23</v>
      </c>
    </row>
    <row r="24" customFormat="false" ht="15" hidden="false" customHeight="false" outlineLevel="0" collapsed="false">
      <c r="B24" s="11" t="s">
        <v>24</v>
      </c>
    </row>
    <row r="25" customFormat="false" ht="15" hidden="false" customHeight="false" outlineLevel="0" collapsed="false">
      <c r="B25" s="12" t="s">
        <v>25</v>
      </c>
    </row>
    <row r="26" customFormat="false" ht="15" hidden="false" customHeight="false" outlineLevel="0" collapsed="false">
      <c r="B26" s="13" t="s">
        <v>26</v>
      </c>
    </row>
    <row r="27" customFormat="false" ht="15" hidden="false" customHeight="false" outlineLevel="0" collapsed="false">
      <c r="B27" s="14" t="s">
        <v>27</v>
      </c>
    </row>
    <row r="28" customFormat="false" ht="15" hidden="false" customHeight="false" outlineLevel="0" collapsed="false">
      <c r="B28" s="15" t="s">
        <v>28</v>
      </c>
    </row>
    <row r="30" customFormat="false" ht="15" hidden="false" customHeight="false" outlineLevel="0" collapsed="false">
      <c r="B30" s="3" t="s">
        <v>29</v>
      </c>
    </row>
    <row r="31" customFormat="false" ht="25.5" hidden="false" customHeight="true" outlineLevel="0" collapsed="false">
      <c r="B31" s="16" t="s">
        <v>30</v>
      </c>
      <c r="C31" s="16"/>
      <c r="D31" s="16"/>
    </row>
    <row r="32" customFormat="false" ht="25.5" hidden="false" customHeight="true" outlineLevel="0" collapsed="false">
      <c r="B32" s="16" t="s">
        <v>31</v>
      </c>
      <c r="C32" s="16"/>
      <c r="D32" s="16"/>
    </row>
    <row r="33" customFormat="false" ht="25.5" hidden="false" customHeight="true" outlineLevel="0" collapsed="false">
      <c r="B33" s="16" t="s">
        <v>32</v>
      </c>
      <c r="C33" s="16"/>
      <c r="D33" s="16"/>
    </row>
    <row r="34" customFormat="false" ht="25.5" hidden="false" customHeight="true" outlineLevel="0" collapsed="false">
      <c r="B34" s="16" t="s">
        <v>33</v>
      </c>
      <c r="C34" s="16"/>
      <c r="D34" s="16"/>
    </row>
  </sheetData>
  <mergeCells count="11">
    <mergeCell ref="B6:D6"/>
    <mergeCell ref="B7:D7"/>
    <mergeCell ref="B8:D8"/>
    <mergeCell ref="B9:D9"/>
    <mergeCell ref="B10:D10"/>
    <mergeCell ref="B11:D11"/>
    <mergeCell ref="B12:D12"/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5" min="14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9" min="18" style="0" width="8"/>
    <col collapsed="false" customWidth="true" hidden="false" outlineLevel="0" max="23" min="20" style="0" width="10"/>
    <col collapsed="false" customWidth="true" hidden="false" outlineLevel="0" max="24" min="24" style="0" width="22"/>
    <col collapsed="false" customWidth="true" hidden="false" outlineLevel="0" max="25" min="25" style="0" width="12"/>
    <col collapsed="false" customWidth="true" hidden="false" outlineLevel="0" max="26" min="26" style="0" width="40"/>
    <col collapsed="false" customWidth="true" hidden="false" outlineLevel="1" max="28" min="27" style="0" width="9"/>
  </cols>
  <sheetData>
    <row r="1" customFormat="false" ht="17.35" hidden="false" customHeight="false" outlineLevel="0" collapsed="false">
      <c r="A1" s="17" t="s">
        <v>34</v>
      </c>
    </row>
    <row r="2" customFormat="false" ht="15" hidden="false" customHeight="false" outlineLevel="0" collapsed="false">
      <c r="A2" s="7" t="s">
        <v>35</v>
      </c>
    </row>
    <row r="4" customFormat="false" ht="15" hidden="false" customHeight="false" outlineLevel="0" collapsed="false">
      <c r="A4" s="18" t="s">
        <v>36</v>
      </c>
      <c r="B4" s="18"/>
      <c r="C4" s="18"/>
      <c r="D4" s="18"/>
      <c r="E4" s="18"/>
      <c r="F4" s="18"/>
      <c r="G4" s="18"/>
      <c r="H4" s="19" t="s">
        <v>37</v>
      </c>
      <c r="I4" s="19"/>
      <c r="J4" s="19"/>
      <c r="K4" s="19"/>
      <c r="L4" s="20" t="s">
        <v>38</v>
      </c>
      <c r="M4" s="20"/>
      <c r="N4" s="20"/>
      <c r="O4" s="20"/>
      <c r="P4" s="21" t="s">
        <v>39</v>
      </c>
      <c r="Q4" s="21"/>
      <c r="R4" s="21"/>
      <c r="S4" s="21"/>
      <c r="T4" s="22" t="s">
        <v>40</v>
      </c>
      <c r="U4" s="22"/>
      <c r="V4" s="22"/>
      <c r="W4" s="22"/>
      <c r="X4" s="23" t="s">
        <v>41</v>
      </c>
      <c r="Y4" s="23"/>
      <c r="Z4" s="23"/>
      <c r="AA4" s="24" t="s">
        <v>42</v>
      </c>
      <c r="AB4" s="24"/>
    </row>
    <row r="5" customFormat="false" ht="30" hidden="false" customHeight="true" outlineLevel="0" collapsed="false">
      <c r="A5" s="25" t="s">
        <v>43</v>
      </c>
      <c r="B5" s="25" t="s">
        <v>44</v>
      </c>
      <c r="C5" s="25" t="s">
        <v>45</v>
      </c>
      <c r="D5" s="25" t="s">
        <v>46</v>
      </c>
      <c r="E5" s="25" t="s">
        <v>47</v>
      </c>
      <c r="F5" s="25" t="s">
        <v>48</v>
      </c>
      <c r="G5" s="25" t="s">
        <v>49</v>
      </c>
      <c r="H5" s="25" t="s">
        <v>50</v>
      </c>
      <c r="I5" s="25" t="s">
        <v>51</v>
      </c>
      <c r="J5" s="25" t="s">
        <v>52</v>
      </c>
      <c r="K5" s="25" t="s">
        <v>53</v>
      </c>
      <c r="L5" s="25" t="s">
        <v>50</v>
      </c>
      <c r="M5" s="25" t="s">
        <v>51</v>
      </c>
      <c r="N5" s="25" t="s">
        <v>52</v>
      </c>
      <c r="O5" s="25" t="s">
        <v>53</v>
      </c>
      <c r="P5" s="25" t="s">
        <v>50</v>
      </c>
      <c r="Q5" s="25" t="s">
        <v>51</v>
      </c>
      <c r="R5" s="25" t="s">
        <v>52</v>
      </c>
      <c r="S5" s="25" t="s">
        <v>53</v>
      </c>
      <c r="T5" s="25" t="s">
        <v>54</v>
      </c>
      <c r="U5" s="25" t="s">
        <v>55</v>
      </c>
      <c r="V5" s="25" t="s">
        <v>56</v>
      </c>
      <c r="W5" s="25" t="s">
        <v>57</v>
      </c>
      <c r="X5" s="25" t="s">
        <v>58</v>
      </c>
      <c r="Y5" s="25" t="s">
        <v>59</v>
      </c>
      <c r="Z5" s="25" t="s">
        <v>29</v>
      </c>
      <c r="AA5" s="25" t="s">
        <v>60</v>
      </c>
      <c r="AB5" s="25" t="s">
        <v>61</v>
      </c>
    </row>
    <row r="6" customFormat="false" ht="15" hidden="false" customHeight="false" outlineLevel="0" collapsed="false">
      <c r="A6" s="9" t="s">
        <v>62</v>
      </c>
      <c r="B6" s="9" t="s">
        <v>63</v>
      </c>
      <c r="C6" s="26"/>
      <c r="D6" s="9" t="s">
        <v>64</v>
      </c>
      <c r="E6" s="9" t="s">
        <v>65</v>
      </c>
      <c r="F6" s="9" t="s">
        <v>66</v>
      </c>
      <c r="G6" s="27"/>
      <c r="H6" s="28" t="n">
        <v>0</v>
      </c>
      <c r="I6" s="28" t="n">
        <v>1505</v>
      </c>
      <c r="J6" s="29" t="n">
        <f aca="false">IF(OR(H6="",I6="",I6=0),"",H6/I6)</f>
        <v>0</v>
      </c>
      <c r="K6" s="30"/>
      <c r="L6" s="28"/>
      <c r="M6" s="28"/>
      <c r="N6" s="29" t="str">
        <f aca="false">IF(OR(L6="",M6="",M6=0),"",L6/M6)</f>
        <v/>
      </c>
      <c r="O6" s="30"/>
      <c r="P6" s="28"/>
      <c r="Q6" s="28"/>
      <c r="R6" s="29" t="str">
        <f aca="false">IF(OR(P6="",Q6="",Q6=0),"",P6/Q6)</f>
        <v/>
      </c>
      <c r="S6" s="30"/>
      <c r="T6" s="31" t="str">
        <f aca="false">IF(OR(AA6="",H6="",H6=0),"",AA6/H6-1)</f>
        <v/>
      </c>
      <c r="U6" s="31" t="str">
        <f aca="false">IF(OR(AB6="",I6="",I6=0),"",AB6/I6-1)</f>
        <v/>
      </c>
      <c r="V6" s="32" t="str">
        <f aca="false">IF(OR(J6="",IF(R6&lt;&gt;"",R6,N6)=""),"",(IF(R6&lt;&gt;"",R6,N6)-J6)*100)</f>
        <v/>
      </c>
      <c r="W6" s="33" t="str">
        <f aca="false">IF(OR(K6="",IF(S6&lt;&gt;"",S6,O6)=""),"",K6-IF(S6&lt;&gt;"",S6,O6))</f>
        <v/>
      </c>
      <c r="X6" s="34" t="str">
        <f aca="false">IF(F6="","",IF(E6="Redirected (301)",IF(AA6="","Pending","Redirected – see target"),IF(OR(AA6="",H6=""),"Pending",IF(H6=0,IF(AA6&gt;0,"Win","Neutral"),IF(AA6&gt;=H6*(1+'How to use'!$C$15),"Win",IF(AA6&lt;=H6*(1+'How to use'!$C$16),"Loss","Neutral"))))))</f>
        <v>Pending</v>
      </c>
      <c r="Y6" s="35" t="str">
        <f aca="false">IF(OR(F6="",C6=""),"",IF(P6&lt;&gt;"","Done",IF(L6&lt;&gt;"",C6+'How to use'!$C$19+'How to use'!$C$17,C6+'How to use'!$C$18+'How to use'!$C$17)))</f>
        <v/>
      </c>
      <c r="Z6" s="9" t="s">
        <v>67</v>
      </c>
      <c r="AA6" s="36" t="str">
        <f aca="false">IF(P6&lt;&gt;"",P6,IF(L6&lt;&gt;"",L6,""))</f>
        <v/>
      </c>
      <c r="AB6" s="36" t="str">
        <f aca="false">IF(Q6&lt;&gt;"",Q6,IF(M6&lt;&gt;"",M6,""))</f>
        <v/>
      </c>
    </row>
    <row r="7" customFormat="false" ht="15" hidden="false" customHeight="false" outlineLevel="0" collapsed="false">
      <c r="A7" s="9" t="s">
        <v>62</v>
      </c>
      <c r="B7" s="9" t="s">
        <v>63</v>
      </c>
      <c r="C7" s="26"/>
      <c r="D7" s="9" t="s">
        <v>64</v>
      </c>
      <c r="E7" s="9" t="s">
        <v>65</v>
      </c>
      <c r="F7" s="9" t="s">
        <v>68</v>
      </c>
      <c r="G7" s="27"/>
      <c r="H7" s="28" t="n">
        <v>0</v>
      </c>
      <c r="I7" s="28" t="n">
        <v>806</v>
      </c>
      <c r="J7" s="29" t="n">
        <f aca="false">IF(OR(H7="",I7="",I7=0),"",H7/I7)</f>
        <v>0</v>
      </c>
      <c r="K7" s="30"/>
      <c r="L7" s="28"/>
      <c r="M7" s="28"/>
      <c r="N7" s="29" t="str">
        <f aca="false">IF(OR(L7="",M7="",M7=0),"",L7/M7)</f>
        <v/>
      </c>
      <c r="O7" s="30"/>
      <c r="P7" s="28"/>
      <c r="Q7" s="28"/>
      <c r="R7" s="29" t="str">
        <f aca="false">IF(OR(P7="",Q7="",Q7=0),"",P7/Q7)</f>
        <v/>
      </c>
      <c r="S7" s="30"/>
      <c r="T7" s="31" t="str">
        <f aca="false">IF(OR(AA7="",H7="",H7=0),"",AA7/H7-1)</f>
        <v/>
      </c>
      <c r="U7" s="31" t="str">
        <f aca="false">IF(OR(AB7="",I7="",I7=0),"",AB7/I7-1)</f>
        <v/>
      </c>
      <c r="V7" s="32" t="str">
        <f aca="false">IF(OR(J7="",IF(R7&lt;&gt;"",R7,N7)=""),"",(IF(R7&lt;&gt;"",R7,N7)-J7)*100)</f>
        <v/>
      </c>
      <c r="W7" s="33" t="str">
        <f aca="false">IF(OR(K7="",IF(S7&lt;&gt;"",S7,O7)=""),"",K7-IF(S7&lt;&gt;"",S7,O7))</f>
        <v/>
      </c>
      <c r="X7" s="34" t="str">
        <f aca="false">IF(F7="","",IF(E7="Redirected (301)",IF(AA7="","Pending","Redirected – see target"),IF(OR(AA7="",H7=""),"Pending",IF(H7=0,IF(AA7&gt;0,"Win","Neutral"),IF(AA7&gt;=H7*(1+'How to use'!$C$15),"Win",IF(AA7&lt;=H7*(1+'How to use'!$C$16),"Loss","Neutral"))))))</f>
        <v>Pending</v>
      </c>
      <c r="Y7" s="35" t="str">
        <f aca="false">IF(OR(F7="",C7=""),"",IF(P7&lt;&gt;"","Done",IF(L7&lt;&gt;"",C7+'How to use'!$C$19+'How to use'!$C$17,C7+'How to use'!$C$18+'How to use'!$C$17)))</f>
        <v/>
      </c>
      <c r="Z7" s="9" t="s">
        <v>69</v>
      </c>
      <c r="AA7" s="36" t="str">
        <f aca="false">IF(P7&lt;&gt;"",P7,IF(L7&lt;&gt;"",L7,""))</f>
        <v/>
      </c>
      <c r="AB7" s="36" t="str">
        <f aca="false">IF(Q7&lt;&gt;"",Q7,IF(M7&lt;&gt;"",M7,""))</f>
        <v/>
      </c>
    </row>
    <row r="8" customFormat="false" ht="15" hidden="false" customHeight="false" outlineLevel="0" collapsed="false">
      <c r="A8" s="9" t="s">
        <v>62</v>
      </c>
      <c r="B8" s="9" t="s">
        <v>63</v>
      </c>
      <c r="C8" s="26"/>
      <c r="D8" s="9" t="s">
        <v>70</v>
      </c>
      <c r="E8" s="9" t="s">
        <v>71</v>
      </c>
      <c r="F8" s="9" t="s">
        <v>72</v>
      </c>
      <c r="G8" s="27"/>
      <c r="H8" s="28" t="n">
        <v>25</v>
      </c>
      <c r="I8" s="28" t="n">
        <v>8261</v>
      </c>
      <c r="J8" s="29" t="n">
        <f aca="false">IF(OR(H8="",I8="",I8=0),"",H8/I8)</f>
        <v>0.00302626800629464</v>
      </c>
      <c r="K8" s="30"/>
      <c r="L8" s="28"/>
      <c r="M8" s="28"/>
      <c r="N8" s="29" t="str">
        <f aca="false">IF(OR(L8="",M8="",M8=0),"",L8/M8)</f>
        <v/>
      </c>
      <c r="O8" s="30"/>
      <c r="P8" s="28"/>
      <c r="Q8" s="28"/>
      <c r="R8" s="29" t="str">
        <f aca="false">IF(OR(P8="",Q8="",Q8=0),"",P8/Q8)</f>
        <v/>
      </c>
      <c r="S8" s="30"/>
      <c r="T8" s="31" t="str">
        <f aca="false">IF(OR(AA8="",H8="",H8=0),"",AA8/H8-1)</f>
        <v/>
      </c>
      <c r="U8" s="31" t="str">
        <f aca="false">IF(OR(AB8="",I8="",I8=0),"",AB8/I8-1)</f>
        <v/>
      </c>
      <c r="V8" s="32" t="str">
        <f aca="false">IF(OR(J8="",IF(R8&lt;&gt;"",R8,N8)=""),"",(IF(R8&lt;&gt;"",R8,N8)-J8)*100)</f>
        <v/>
      </c>
      <c r="W8" s="33" t="str">
        <f aca="false">IF(OR(K8="",IF(S8&lt;&gt;"",S8,O8)=""),"",K8-IF(S8&lt;&gt;"",S8,O8))</f>
        <v/>
      </c>
      <c r="X8" s="34" t="str">
        <f aca="false">IF(F8="","",IF(E8="Redirected (301)",IF(AA8="","Pending","Redirected – see target"),IF(OR(AA8="",H8=""),"Pending",IF(H8=0,IF(AA8&gt;0,"Win","Neutral"),IF(AA8&gt;=H8*(1+'How to use'!$C$15),"Win",IF(AA8&lt;=H8*(1+'How to use'!$C$16),"Loss","Neutral"))))))</f>
        <v>Pending</v>
      </c>
      <c r="Y8" s="35" t="str">
        <f aca="false">IF(OR(F8="",C8=""),"",IF(P8&lt;&gt;"","Done",IF(L8&lt;&gt;"",C8+'How to use'!$C$19+'How to use'!$C$17,C8+'How to use'!$C$18+'How to use'!$C$17)))</f>
        <v/>
      </c>
      <c r="Z8" s="9"/>
      <c r="AA8" s="36" t="str">
        <f aca="false">IF(P8&lt;&gt;"",P8,IF(L8&lt;&gt;"",L8,""))</f>
        <v/>
      </c>
      <c r="AB8" s="36" t="str">
        <f aca="false">IF(Q8&lt;&gt;"",Q8,IF(M8&lt;&gt;"",M8,""))</f>
        <v/>
      </c>
    </row>
    <row r="9" customFormat="false" ht="15" hidden="false" customHeight="false" outlineLevel="0" collapsed="false">
      <c r="A9" s="9" t="s">
        <v>62</v>
      </c>
      <c r="B9" s="9" t="s">
        <v>63</v>
      </c>
      <c r="C9" s="26"/>
      <c r="D9" s="9" t="s">
        <v>70</v>
      </c>
      <c r="E9" s="9" t="s">
        <v>71</v>
      </c>
      <c r="F9" s="9" t="s">
        <v>68</v>
      </c>
      <c r="G9" s="27"/>
      <c r="H9" s="28" t="n">
        <v>13</v>
      </c>
      <c r="I9" s="28" t="n">
        <v>2961</v>
      </c>
      <c r="J9" s="29" t="n">
        <f aca="false">IF(OR(H9="",I9="",I9=0),"",H9/I9)</f>
        <v>0.00439040864572779</v>
      </c>
      <c r="K9" s="30"/>
      <c r="L9" s="28"/>
      <c r="M9" s="28"/>
      <c r="N9" s="29" t="str">
        <f aca="false">IF(OR(L9="",M9="",M9=0),"",L9/M9)</f>
        <v/>
      </c>
      <c r="O9" s="30"/>
      <c r="P9" s="28"/>
      <c r="Q9" s="28"/>
      <c r="R9" s="29" t="str">
        <f aca="false">IF(OR(P9="",Q9="",Q9=0),"",P9/Q9)</f>
        <v/>
      </c>
      <c r="S9" s="30"/>
      <c r="T9" s="31" t="str">
        <f aca="false">IF(OR(AA9="",H9="",H9=0),"",AA9/H9-1)</f>
        <v/>
      </c>
      <c r="U9" s="31" t="str">
        <f aca="false">IF(OR(AB9="",I9="",I9=0),"",AB9/I9-1)</f>
        <v/>
      </c>
      <c r="V9" s="32" t="str">
        <f aca="false">IF(OR(J9="",IF(R9&lt;&gt;"",R9,N9)=""),"",(IF(R9&lt;&gt;"",R9,N9)-J9)*100)</f>
        <v/>
      </c>
      <c r="W9" s="33" t="str">
        <f aca="false">IF(OR(K9="",IF(S9&lt;&gt;"",S9,O9)=""),"",K9-IF(S9&lt;&gt;"",S9,O9))</f>
        <v/>
      </c>
      <c r="X9" s="34" t="str">
        <f aca="false">IF(F9="","",IF(E9="Redirected (301)",IF(AA9="","Pending","Redirected – see target"),IF(OR(AA9="",H9=""),"Pending",IF(H9=0,IF(AA9&gt;0,"Win","Neutral"),IF(AA9&gt;=H9*(1+'How to use'!$C$15),"Win",IF(AA9&lt;=H9*(1+'How to use'!$C$16),"Loss","Neutral"))))))</f>
        <v>Pending</v>
      </c>
      <c r="Y9" s="35" t="str">
        <f aca="false">IF(OR(F9="",C9=""),"",IF(P9&lt;&gt;"","Done",IF(L9&lt;&gt;"",C9+'How to use'!$C$19+'How to use'!$C$17,C9+'How to use'!$C$18+'How to use'!$C$17)))</f>
        <v/>
      </c>
      <c r="Z9" s="9"/>
      <c r="AA9" s="36" t="str">
        <f aca="false">IF(P9&lt;&gt;"",P9,IF(L9&lt;&gt;"",L9,""))</f>
        <v/>
      </c>
      <c r="AB9" s="36" t="str">
        <f aca="false">IF(Q9&lt;&gt;"",Q9,IF(M9&lt;&gt;"",M9,""))</f>
        <v/>
      </c>
    </row>
    <row r="10" customFormat="false" ht="15" hidden="false" customHeight="false" outlineLevel="0" collapsed="false">
      <c r="A10" s="9" t="s">
        <v>62</v>
      </c>
      <c r="B10" s="9" t="s">
        <v>63</v>
      </c>
      <c r="C10" s="26"/>
      <c r="D10" s="9" t="s">
        <v>70</v>
      </c>
      <c r="E10" s="9" t="s">
        <v>71</v>
      </c>
      <c r="F10" s="9" t="s">
        <v>66</v>
      </c>
      <c r="G10" s="27"/>
      <c r="H10" s="28"/>
      <c r="I10" s="28"/>
      <c r="J10" s="29" t="str">
        <f aca="false">IF(OR(H10="",I10="",I10=0),"",H10/I10)</f>
        <v/>
      </c>
      <c r="K10" s="30"/>
      <c r="L10" s="28"/>
      <c r="M10" s="28"/>
      <c r="N10" s="29" t="str">
        <f aca="false">IF(OR(L10="",M10="",M10=0),"",L10/M10)</f>
        <v/>
      </c>
      <c r="O10" s="30"/>
      <c r="P10" s="28"/>
      <c r="Q10" s="28"/>
      <c r="R10" s="29" t="str">
        <f aca="false">IF(OR(P10="",Q10="",Q10=0),"",P10/Q10)</f>
        <v/>
      </c>
      <c r="S10" s="30"/>
      <c r="T10" s="31" t="str">
        <f aca="false">IF(OR(AA10="",H10="",H10=0),"",AA10/H10-1)</f>
        <v/>
      </c>
      <c r="U10" s="31" t="str">
        <f aca="false">IF(OR(AB10="",I10="",I10=0),"",AB10/I10-1)</f>
        <v/>
      </c>
      <c r="V10" s="32" t="str">
        <f aca="false">IF(OR(J10="",IF(R10&lt;&gt;"",R10,N10)=""),"",(IF(R10&lt;&gt;"",R10,N10)-J10)*100)</f>
        <v/>
      </c>
      <c r="W10" s="33" t="str">
        <f aca="false">IF(OR(K10="",IF(S10&lt;&gt;"",S10,O10)=""),"",K10-IF(S10&lt;&gt;"",S10,O10))</f>
        <v/>
      </c>
      <c r="X10" s="34" t="str">
        <f aca="false">IF(F10="","",IF(E10="Redirected (301)",IF(AA10="","Pending","Redirected – see target"),IF(OR(AA10="",H10=""),"Pending",IF(H10=0,IF(AA10&gt;0,"Win","Neutral"),IF(AA10&gt;=H10*(1+'How to use'!$C$15),"Win",IF(AA10&lt;=H10*(1+'How to use'!$C$16),"Loss","Neutral"))))))</f>
        <v>Pending</v>
      </c>
      <c r="Y10" s="35" t="str">
        <f aca="false">IF(OR(F10="",C10=""),"",IF(P10&lt;&gt;"","Done",IF(L10&lt;&gt;"",C10+'How to use'!$C$19+'How to use'!$C$17,C10+'How to use'!$C$18+'How to use'!$C$17)))</f>
        <v/>
      </c>
      <c r="Z10" s="9" t="s">
        <v>73</v>
      </c>
      <c r="AA10" s="36" t="str">
        <f aca="false">IF(P10&lt;&gt;"",P10,IF(L10&lt;&gt;"",L10,""))</f>
        <v/>
      </c>
      <c r="AB10" s="36" t="str">
        <f aca="false">IF(Q10&lt;&gt;"",Q10,IF(M10&lt;&gt;"",M10,""))</f>
        <v/>
      </c>
    </row>
    <row r="11" customFormat="false" ht="15" hidden="false" customHeight="false" outlineLevel="0" collapsed="false">
      <c r="A11" s="9"/>
      <c r="B11" s="9"/>
      <c r="C11" s="26"/>
      <c r="D11" s="9"/>
      <c r="E11" s="9"/>
      <c r="F11" s="9"/>
      <c r="G11" s="27"/>
      <c r="H11" s="28"/>
      <c r="I11" s="28"/>
      <c r="J11" s="29" t="str">
        <f aca="false">IF(OR(H11="",I11="",I11=0),"",H11/I11)</f>
        <v/>
      </c>
      <c r="K11" s="30"/>
      <c r="L11" s="28"/>
      <c r="M11" s="28"/>
      <c r="N11" s="29" t="str">
        <f aca="false">IF(OR(L11="",M11="",M11=0),"",L11/M11)</f>
        <v/>
      </c>
      <c r="O11" s="30"/>
      <c r="P11" s="28"/>
      <c r="Q11" s="28"/>
      <c r="R11" s="29" t="str">
        <f aca="false">IF(OR(P11="",Q11="",Q11=0),"",P11/Q11)</f>
        <v/>
      </c>
      <c r="S11" s="30"/>
      <c r="T11" s="31" t="str">
        <f aca="false">IF(OR(AA11="",H11="",H11=0),"",AA11/H11-1)</f>
        <v/>
      </c>
      <c r="U11" s="31" t="str">
        <f aca="false">IF(OR(AB11="",I11="",I11=0),"",AB11/I11-1)</f>
        <v/>
      </c>
      <c r="V11" s="32" t="str">
        <f aca="false">IF(OR(J11="",IF(R11&lt;&gt;"",R11,N11)=""),"",(IF(R11&lt;&gt;"",R11,N11)-J11)*100)</f>
        <v/>
      </c>
      <c r="W11" s="33" t="str">
        <f aca="false">IF(OR(K11="",IF(S11&lt;&gt;"",S11,O11)=""),"",K11-IF(S11&lt;&gt;"",S11,O11))</f>
        <v/>
      </c>
      <c r="X11" s="34" t="str">
        <f aca="false">IF(F11="","",IF(E11="Redirected (301)",IF(AA11="","Pending","Redirected – see target"),IF(OR(AA11="",H11=""),"Pending",IF(H11=0,IF(AA11&gt;0,"Win","Neutral"),IF(AA11&gt;=H11*(1+'How to use'!$C$15),"Win",IF(AA11&lt;=H11*(1+'How to use'!$C$16),"Loss","Neutral"))))))</f>
        <v/>
      </c>
      <c r="Y11" s="35" t="str">
        <f aca="false">IF(OR(F11="",C11=""),"",IF(P11&lt;&gt;"","Done",IF(L11&lt;&gt;"",C11+'How to use'!$C$19+'How to use'!$C$17,C11+'How to use'!$C$18+'How to use'!$C$17)))</f>
        <v/>
      </c>
      <c r="Z11" s="9"/>
      <c r="AA11" s="36" t="str">
        <f aca="false">IF(P11&lt;&gt;"",P11,IF(L11&lt;&gt;"",L11,""))</f>
        <v/>
      </c>
      <c r="AB11" s="36" t="str">
        <f aca="false">IF(Q11&lt;&gt;"",Q11,IF(M11&lt;&gt;"",M11,""))</f>
        <v/>
      </c>
    </row>
    <row r="12" customFormat="false" ht="15" hidden="false" customHeight="false" outlineLevel="0" collapsed="false">
      <c r="A12" s="9"/>
      <c r="B12" s="9"/>
      <c r="C12" s="26"/>
      <c r="D12" s="9"/>
      <c r="E12" s="9"/>
      <c r="F12" s="9"/>
      <c r="G12" s="27"/>
      <c r="H12" s="28"/>
      <c r="I12" s="28"/>
      <c r="J12" s="29" t="str">
        <f aca="false">IF(OR(H12="",I12="",I12=0),"",H12/I12)</f>
        <v/>
      </c>
      <c r="K12" s="30"/>
      <c r="L12" s="28"/>
      <c r="M12" s="28"/>
      <c r="N12" s="29" t="str">
        <f aca="false">IF(OR(L12="",M12="",M12=0),"",L12/M12)</f>
        <v/>
      </c>
      <c r="O12" s="30"/>
      <c r="P12" s="28"/>
      <c r="Q12" s="28"/>
      <c r="R12" s="29" t="str">
        <f aca="false">IF(OR(P12="",Q12="",Q12=0),"",P12/Q12)</f>
        <v/>
      </c>
      <c r="S12" s="30"/>
      <c r="T12" s="31" t="str">
        <f aca="false">IF(OR(AA12="",H12="",H12=0),"",AA12/H12-1)</f>
        <v/>
      </c>
      <c r="U12" s="31" t="str">
        <f aca="false">IF(OR(AB12="",I12="",I12=0),"",AB12/I12-1)</f>
        <v/>
      </c>
      <c r="V12" s="32" t="str">
        <f aca="false">IF(OR(J12="",IF(R12&lt;&gt;"",R12,N12)=""),"",(IF(R12&lt;&gt;"",R12,N12)-J12)*100)</f>
        <v/>
      </c>
      <c r="W12" s="33" t="str">
        <f aca="false">IF(OR(K12="",IF(S12&lt;&gt;"",S12,O12)=""),"",K12-IF(S12&lt;&gt;"",S12,O12))</f>
        <v/>
      </c>
      <c r="X12" s="34" t="str">
        <f aca="false">IF(F12="","",IF(E12="Redirected (301)",IF(AA12="","Pending","Redirected – see target"),IF(OR(AA12="",H12=""),"Pending",IF(H12=0,IF(AA12&gt;0,"Win","Neutral"),IF(AA12&gt;=H12*(1+'How to use'!$C$15),"Win",IF(AA12&lt;=H12*(1+'How to use'!$C$16),"Loss","Neutral"))))))</f>
        <v/>
      </c>
      <c r="Y12" s="35" t="str">
        <f aca="false">IF(OR(F12="",C12=""),"",IF(P12&lt;&gt;"","Done",IF(L12&lt;&gt;"",C12+'How to use'!$C$19+'How to use'!$C$17,C12+'How to use'!$C$18+'How to use'!$C$17)))</f>
        <v/>
      </c>
      <c r="Z12" s="9"/>
      <c r="AA12" s="36" t="str">
        <f aca="false">IF(P12&lt;&gt;"",P12,IF(L12&lt;&gt;"",L12,""))</f>
        <v/>
      </c>
      <c r="AB12" s="36" t="str">
        <f aca="false">IF(Q12&lt;&gt;"",Q12,IF(M12&lt;&gt;"",M12,""))</f>
        <v/>
      </c>
    </row>
    <row r="13" customFormat="false" ht="15" hidden="false" customHeight="false" outlineLevel="0" collapsed="false">
      <c r="A13" s="9"/>
      <c r="B13" s="9"/>
      <c r="C13" s="26"/>
      <c r="D13" s="9"/>
      <c r="E13" s="9"/>
      <c r="F13" s="9"/>
      <c r="G13" s="27"/>
      <c r="H13" s="28"/>
      <c r="I13" s="28"/>
      <c r="J13" s="29" t="str">
        <f aca="false">IF(OR(H13="",I13="",I13=0),"",H13/I13)</f>
        <v/>
      </c>
      <c r="K13" s="30"/>
      <c r="L13" s="28"/>
      <c r="M13" s="28"/>
      <c r="N13" s="29" t="str">
        <f aca="false">IF(OR(L13="",M13="",M13=0),"",L13/M13)</f>
        <v/>
      </c>
      <c r="O13" s="30"/>
      <c r="P13" s="28"/>
      <c r="Q13" s="28"/>
      <c r="R13" s="29" t="str">
        <f aca="false">IF(OR(P13="",Q13="",Q13=0),"",P13/Q13)</f>
        <v/>
      </c>
      <c r="S13" s="30"/>
      <c r="T13" s="31" t="str">
        <f aca="false">IF(OR(AA13="",H13="",H13=0),"",AA13/H13-1)</f>
        <v/>
      </c>
      <c r="U13" s="31" t="str">
        <f aca="false">IF(OR(AB13="",I13="",I13=0),"",AB13/I13-1)</f>
        <v/>
      </c>
      <c r="V13" s="32" t="str">
        <f aca="false">IF(OR(J13="",IF(R13&lt;&gt;"",R13,N13)=""),"",(IF(R13&lt;&gt;"",R13,N13)-J13)*100)</f>
        <v/>
      </c>
      <c r="W13" s="33" t="str">
        <f aca="false">IF(OR(K13="",IF(S13&lt;&gt;"",S13,O13)=""),"",K13-IF(S13&lt;&gt;"",S13,O13))</f>
        <v/>
      </c>
      <c r="X13" s="34" t="str">
        <f aca="false">IF(F13="","",IF(E13="Redirected (301)",IF(AA13="","Pending","Redirected – see target"),IF(OR(AA13="",H13=""),"Pending",IF(H13=0,IF(AA13&gt;0,"Win","Neutral"),IF(AA13&gt;=H13*(1+'How to use'!$C$15),"Win",IF(AA13&lt;=H13*(1+'How to use'!$C$16),"Loss","Neutral"))))))</f>
        <v/>
      </c>
      <c r="Y13" s="35" t="str">
        <f aca="false">IF(OR(F13="",C13=""),"",IF(P13&lt;&gt;"","Done",IF(L13&lt;&gt;"",C13+'How to use'!$C$19+'How to use'!$C$17,C13+'How to use'!$C$18+'How to use'!$C$17)))</f>
        <v/>
      </c>
      <c r="Z13" s="9"/>
      <c r="AA13" s="36" t="str">
        <f aca="false">IF(P13&lt;&gt;"",P13,IF(L13&lt;&gt;"",L13,""))</f>
        <v/>
      </c>
      <c r="AB13" s="36" t="str">
        <f aca="false">IF(Q13&lt;&gt;"",Q13,IF(M13&lt;&gt;"",M13,""))</f>
        <v/>
      </c>
    </row>
    <row r="14" customFormat="false" ht="15" hidden="false" customHeight="false" outlineLevel="0" collapsed="false">
      <c r="A14" s="9"/>
      <c r="B14" s="9"/>
      <c r="C14" s="26"/>
      <c r="D14" s="9"/>
      <c r="E14" s="9"/>
      <c r="F14" s="9"/>
      <c r="G14" s="27"/>
      <c r="H14" s="28"/>
      <c r="I14" s="28"/>
      <c r="J14" s="29" t="str">
        <f aca="false">IF(OR(H14="",I14="",I14=0),"",H14/I14)</f>
        <v/>
      </c>
      <c r="K14" s="30"/>
      <c r="L14" s="28"/>
      <c r="M14" s="28"/>
      <c r="N14" s="29" t="str">
        <f aca="false">IF(OR(L14="",M14="",M14=0),"",L14/M14)</f>
        <v/>
      </c>
      <c r="O14" s="30"/>
      <c r="P14" s="28"/>
      <c r="Q14" s="28"/>
      <c r="R14" s="29" t="str">
        <f aca="false">IF(OR(P14="",Q14="",Q14=0),"",P14/Q14)</f>
        <v/>
      </c>
      <c r="S14" s="30"/>
      <c r="T14" s="31" t="str">
        <f aca="false">IF(OR(AA14="",H14="",H14=0),"",AA14/H14-1)</f>
        <v/>
      </c>
      <c r="U14" s="31" t="str">
        <f aca="false">IF(OR(AB14="",I14="",I14=0),"",AB14/I14-1)</f>
        <v/>
      </c>
      <c r="V14" s="32" t="str">
        <f aca="false">IF(OR(J14="",IF(R14&lt;&gt;"",R14,N14)=""),"",(IF(R14&lt;&gt;"",R14,N14)-J14)*100)</f>
        <v/>
      </c>
      <c r="W14" s="33" t="str">
        <f aca="false">IF(OR(K14="",IF(S14&lt;&gt;"",S14,O14)=""),"",K14-IF(S14&lt;&gt;"",S14,O14))</f>
        <v/>
      </c>
      <c r="X14" s="34" t="str">
        <f aca="false">IF(F14="","",IF(E14="Redirected (301)",IF(AA14="","Pending","Redirected – see target"),IF(OR(AA14="",H14=""),"Pending",IF(H14=0,IF(AA14&gt;0,"Win","Neutral"),IF(AA14&gt;=H14*(1+'How to use'!$C$15),"Win",IF(AA14&lt;=H14*(1+'How to use'!$C$16),"Loss","Neutral"))))))</f>
        <v/>
      </c>
      <c r="Y14" s="35" t="str">
        <f aca="false">IF(OR(F14="",C14=""),"",IF(P14&lt;&gt;"","Done",IF(L14&lt;&gt;"",C14+'How to use'!$C$19+'How to use'!$C$17,C14+'How to use'!$C$18+'How to use'!$C$17)))</f>
        <v/>
      </c>
      <c r="Z14" s="9"/>
      <c r="AA14" s="36" t="str">
        <f aca="false">IF(P14&lt;&gt;"",P14,IF(L14&lt;&gt;"",L14,""))</f>
        <v/>
      </c>
      <c r="AB14" s="36" t="str">
        <f aca="false">IF(Q14&lt;&gt;"",Q14,IF(M14&lt;&gt;"",M14,""))</f>
        <v/>
      </c>
    </row>
    <row r="15" customFormat="false" ht="15" hidden="false" customHeight="false" outlineLevel="0" collapsed="false">
      <c r="A15" s="9"/>
      <c r="B15" s="9"/>
      <c r="C15" s="26"/>
      <c r="D15" s="9"/>
      <c r="E15" s="9"/>
      <c r="F15" s="9"/>
      <c r="G15" s="27"/>
      <c r="H15" s="28"/>
      <c r="I15" s="28"/>
      <c r="J15" s="29" t="str">
        <f aca="false">IF(OR(H15="",I15="",I15=0),"",H15/I15)</f>
        <v/>
      </c>
      <c r="K15" s="30"/>
      <c r="L15" s="28"/>
      <c r="M15" s="28"/>
      <c r="N15" s="29" t="str">
        <f aca="false">IF(OR(L15="",M15="",M15=0),"",L15/M15)</f>
        <v/>
      </c>
      <c r="O15" s="30"/>
      <c r="P15" s="28"/>
      <c r="Q15" s="28"/>
      <c r="R15" s="29" t="str">
        <f aca="false">IF(OR(P15="",Q15="",Q15=0),"",P15/Q15)</f>
        <v/>
      </c>
      <c r="S15" s="30"/>
      <c r="T15" s="31" t="str">
        <f aca="false">IF(OR(AA15="",H15="",H15=0),"",AA15/H15-1)</f>
        <v/>
      </c>
      <c r="U15" s="31" t="str">
        <f aca="false">IF(OR(AB15="",I15="",I15=0),"",AB15/I15-1)</f>
        <v/>
      </c>
      <c r="V15" s="32" t="str">
        <f aca="false">IF(OR(J15="",IF(R15&lt;&gt;"",R15,N15)=""),"",(IF(R15&lt;&gt;"",R15,N15)-J15)*100)</f>
        <v/>
      </c>
      <c r="W15" s="33" t="str">
        <f aca="false">IF(OR(K15="",IF(S15&lt;&gt;"",S15,O15)=""),"",K15-IF(S15&lt;&gt;"",S15,O15))</f>
        <v/>
      </c>
      <c r="X15" s="34" t="str">
        <f aca="false">IF(F15="","",IF(E15="Redirected (301)",IF(AA15="","Pending","Redirected – see target"),IF(OR(AA15="",H15=""),"Pending",IF(H15=0,IF(AA15&gt;0,"Win","Neutral"),IF(AA15&gt;=H15*(1+'How to use'!$C$15),"Win",IF(AA15&lt;=H15*(1+'How to use'!$C$16),"Loss","Neutral"))))))</f>
        <v/>
      </c>
      <c r="Y15" s="35" t="str">
        <f aca="false">IF(OR(F15="",C15=""),"",IF(P15&lt;&gt;"","Done",IF(L15&lt;&gt;"",C15+'How to use'!$C$19+'How to use'!$C$17,C15+'How to use'!$C$18+'How to use'!$C$17)))</f>
        <v/>
      </c>
      <c r="Z15" s="9"/>
      <c r="AA15" s="36" t="str">
        <f aca="false">IF(P15&lt;&gt;"",P15,IF(L15&lt;&gt;"",L15,""))</f>
        <v/>
      </c>
      <c r="AB15" s="36" t="str">
        <f aca="false">IF(Q15&lt;&gt;"",Q15,IF(M15&lt;&gt;"",M15,""))</f>
        <v/>
      </c>
    </row>
    <row r="16" customFormat="false" ht="15" hidden="false" customHeight="false" outlineLevel="0" collapsed="false">
      <c r="A16" s="9"/>
      <c r="B16" s="9"/>
      <c r="C16" s="26"/>
      <c r="D16" s="9"/>
      <c r="E16" s="9"/>
      <c r="F16" s="9"/>
      <c r="G16" s="27"/>
      <c r="H16" s="28"/>
      <c r="I16" s="28"/>
      <c r="J16" s="29" t="str">
        <f aca="false">IF(OR(H16="",I16="",I16=0),"",H16/I16)</f>
        <v/>
      </c>
      <c r="K16" s="30"/>
      <c r="L16" s="28"/>
      <c r="M16" s="28"/>
      <c r="N16" s="29" t="str">
        <f aca="false">IF(OR(L16="",M16="",M16=0),"",L16/M16)</f>
        <v/>
      </c>
      <c r="O16" s="30"/>
      <c r="P16" s="28"/>
      <c r="Q16" s="28"/>
      <c r="R16" s="29" t="str">
        <f aca="false">IF(OR(P16="",Q16="",Q16=0),"",P16/Q16)</f>
        <v/>
      </c>
      <c r="S16" s="30"/>
      <c r="T16" s="31" t="str">
        <f aca="false">IF(OR(AA16="",H16="",H16=0),"",AA16/H16-1)</f>
        <v/>
      </c>
      <c r="U16" s="31" t="str">
        <f aca="false">IF(OR(AB16="",I16="",I16=0),"",AB16/I16-1)</f>
        <v/>
      </c>
      <c r="V16" s="32" t="str">
        <f aca="false">IF(OR(J16="",IF(R16&lt;&gt;"",R16,N16)=""),"",(IF(R16&lt;&gt;"",R16,N16)-J16)*100)</f>
        <v/>
      </c>
      <c r="W16" s="33" t="str">
        <f aca="false">IF(OR(K16="",IF(S16&lt;&gt;"",S16,O16)=""),"",K16-IF(S16&lt;&gt;"",S16,O16))</f>
        <v/>
      </c>
      <c r="X16" s="34" t="str">
        <f aca="false">IF(F16="","",IF(E16="Redirected (301)",IF(AA16="","Pending","Redirected – see target"),IF(OR(AA16="",H16=""),"Pending",IF(H16=0,IF(AA16&gt;0,"Win","Neutral"),IF(AA16&gt;=H16*(1+'How to use'!$C$15),"Win",IF(AA16&lt;=H16*(1+'How to use'!$C$16),"Loss","Neutral"))))))</f>
        <v/>
      </c>
      <c r="Y16" s="35" t="str">
        <f aca="false">IF(OR(F16="",C16=""),"",IF(P16&lt;&gt;"","Done",IF(L16&lt;&gt;"",C16+'How to use'!$C$19+'How to use'!$C$17,C16+'How to use'!$C$18+'How to use'!$C$17)))</f>
        <v/>
      </c>
      <c r="Z16" s="9"/>
      <c r="AA16" s="36" t="str">
        <f aca="false">IF(P16&lt;&gt;"",P16,IF(L16&lt;&gt;"",L16,""))</f>
        <v/>
      </c>
      <c r="AB16" s="36" t="str">
        <f aca="false">IF(Q16&lt;&gt;"",Q16,IF(M16&lt;&gt;"",M16,""))</f>
        <v/>
      </c>
    </row>
    <row r="17" customFormat="false" ht="15" hidden="false" customHeight="false" outlineLevel="0" collapsed="false">
      <c r="A17" s="9"/>
      <c r="B17" s="9"/>
      <c r="C17" s="26"/>
      <c r="D17" s="9"/>
      <c r="E17" s="9"/>
      <c r="F17" s="9"/>
      <c r="G17" s="27"/>
      <c r="H17" s="28"/>
      <c r="I17" s="28"/>
      <c r="J17" s="29" t="str">
        <f aca="false">IF(OR(H17="",I17="",I17=0),"",H17/I17)</f>
        <v/>
      </c>
      <c r="K17" s="30"/>
      <c r="L17" s="28"/>
      <c r="M17" s="28"/>
      <c r="N17" s="29" t="str">
        <f aca="false">IF(OR(L17="",M17="",M17=0),"",L17/M17)</f>
        <v/>
      </c>
      <c r="O17" s="30"/>
      <c r="P17" s="28"/>
      <c r="Q17" s="28"/>
      <c r="R17" s="29" t="str">
        <f aca="false">IF(OR(P17="",Q17="",Q17=0),"",P17/Q17)</f>
        <v/>
      </c>
      <c r="S17" s="30"/>
      <c r="T17" s="31" t="str">
        <f aca="false">IF(OR(AA17="",H17="",H17=0),"",AA17/H17-1)</f>
        <v/>
      </c>
      <c r="U17" s="31" t="str">
        <f aca="false">IF(OR(AB17="",I17="",I17=0),"",AB17/I17-1)</f>
        <v/>
      </c>
      <c r="V17" s="32" t="str">
        <f aca="false">IF(OR(J17="",IF(R17&lt;&gt;"",R17,N17)=""),"",(IF(R17&lt;&gt;"",R17,N17)-J17)*100)</f>
        <v/>
      </c>
      <c r="W17" s="33" t="str">
        <f aca="false">IF(OR(K17="",IF(S17&lt;&gt;"",S17,O17)=""),"",K17-IF(S17&lt;&gt;"",S17,O17))</f>
        <v/>
      </c>
      <c r="X17" s="34" t="str">
        <f aca="false">IF(F17="","",IF(E17="Redirected (301)",IF(AA17="","Pending","Redirected – see target"),IF(OR(AA17="",H17=""),"Pending",IF(H17=0,IF(AA17&gt;0,"Win","Neutral"),IF(AA17&gt;=H17*(1+'How to use'!$C$15),"Win",IF(AA17&lt;=H17*(1+'How to use'!$C$16),"Loss","Neutral"))))))</f>
        <v/>
      </c>
      <c r="Y17" s="35" t="str">
        <f aca="false">IF(OR(F17="",C17=""),"",IF(P17&lt;&gt;"","Done",IF(L17&lt;&gt;"",C17+'How to use'!$C$19+'How to use'!$C$17,C17+'How to use'!$C$18+'How to use'!$C$17)))</f>
        <v/>
      </c>
      <c r="Z17" s="9"/>
      <c r="AA17" s="36" t="str">
        <f aca="false">IF(P17&lt;&gt;"",P17,IF(L17&lt;&gt;"",L17,""))</f>
        <v/>
      </c>
      <c r="AB17" s="36" t="str">
        <f aca="false">IF(Q17&lt;&gt;"",Q17,IF(M17&lt;&gt;"",M17,""))</f>
        <v/>
      </c>
    </row>
    <row r="18" customFormat="false" ht="15" hidden="false" customHeight="false" outlineLevel="0" collapsed="false">
      <c r="A18" s="9"/>
      <c r="B18" s="9"/>
      <c r="C18" s="26"/>
      <c r="D18" s="9"/>
      <c r="E18" s="9"/>
      <c r="F18" s="9"/>
      <c r="G18" s="27"/>
      <c r="H18" s="28"/>
      <c r="I18" s="28"/>
      <c r="J18" s="29" t="str">
        <f aca="false">IF(OR(H18="",I18="",I18=0),"",H18/I18)</f>
        <v/>
      </c>
      <c r="K18" s="30"/>
      <c r="L18" s="28"/>
      <c r="M18" s="28"/>
      <c r="N18" s="29" t="str">
        <f aca="false">IF(OR(L18="",M18="",M18=0),"",L18/M18)</f>
        <v/>
      </c>
      <c r="O18" s="30"/>
      <c r="P18" s="28"/>
      <c r="Q18" s="28"/>
      <c r="R18" s="29" t="str">
        <f aca="false">IF(OR(P18="",Q18="",Q18=0),"",P18/Q18)</f>
        <v/>
      </c>
      <c r="S18" s="30"/>
      <c r="T18" s="31" t="str">
        <f aca="false">IF(OR(AA18="",H18="",H18=0),"",AA18/H18-1)</f>
        <v/>
      </c>
      <c r="U18" s="31" t="str">
        <f aca="false">IF(OR(AB18="",I18="",I18=0),"",AB18/I18-1)</f>
        <v/>
      </c>
      <c r="V18" s="32" t="str">
        <f aca="false">IF(OR(J18="",IF(R18&lt;&gt;"",R18,N18)=""),"",(IF(R18&lt;&gt;"",R18,N18)-J18)*100)</f>
        <v/>
      </c>
      <c r="W18" s="33" t="str">
        <f aca="false">IF(OR(K18="",IF(S18&lt;&gt;"",S18,O18)=""),"",K18-IF(S18&lt;&gt;"",S18,O18))</f>
        <v/>
      </c>
      <c r="X18" s="34" t="str">
        <f aca="false">IF(F18="","",IF(E18="Redirected (301)",IF(AA18="","Pending","Redirected – see target"),IF(OR(AA18="",H18=""),"Pending",IF(H18=0,IF(AA18&gt;0,"Win","Neutral"),IF(AA18&gt;=H18*(1+'How to use'!$C$15),"Win",IF(AA18&lt;=H18*(1+'How to use'!$C$16),"Loss","Neutral"))))))</f>
        <v/>
      </c>
      <c r="Y18" s="35" t="str">
        <f aca="false">IF(OR(F18="",C18=""),"",IF(P18&lt;&gt;"","Done",IF(L18&lt;&gt;"",C18+'How to use'!$C$19+'How to use'!$C$17,C18+'How to use'!$C$18+'How to use'!$C$17)))</f>
        <v/>
      </c>
      <c r="Z18" s="9"/>
      <c r="AA18" s="36" t="str">
        <f aca="false">IF(P18&lt;&gt;"",P18,IF(L18&lt;&gt;"",L18,""))</f>
        <v/>
      </c>
      <c r="AB18" s="36" t="str">
        <f aca="false">IF(Q18&lt;&gt;"",Q18,IF(M18&lt;&gt;"",M18,""))</f>
        <v/>
      </c>
    </row>
    <row r="19" customFormat="false" ht="15" hidden="false" customHeight="false" outlineLevel="0" collapsed="false">
      <c r="A19" s="9"/>
      <c r="B19" s="9"/>
      <c r="C19" s="26"/>
      <c r="D19" s="9"/>
      <c r="E19" s="9"/>
      <c r="F19" s="9"/>
      <c r="G19" s="27"/>
      <c r="H19" s="28"/>
      <c r="I19" s="28"/>
      <c r="J19" s="29" t="str">
        <f aca="false">IF(OR(H19="",I19="",I19=0),"",H19/I19)</f>
        <v/>
      </c>
      <c r="K19" s="30"/>
      <c r="L19" s="28"/>
      <c r="M19" s="28"/>
      <c r="N19" s="29" t="str">
        <f aca="false">IF(OR(L19="",M19="",M19=0),"",L19/M19)</f>
        <v/>
      </c>
      <c r="O19" s="30"/>
      <c r="P19" s="28"/>
      <c r="Q19" s="28"/>
      <c r="R19" s="29" t="str">
        <f aca="false">IF(OR(P19="",Q19="",Q19=0),"",P19/Q19)</f>
        <v/>
      </c>
      <c r="S19" s="30"/>
      <c r="T19" s="31" t="str">
        <f aca="false">IF(OR(AA19="",H19="",H19=0),"",AA19/H19-1)</f>
        <v/>
      </c>
      <c r="U19" s="31" t="str">
        <f aca="false">IF(OR(AB19="",I19="",I19=0),"",AB19/I19-1)</f>
        <v/>
      </c>
      <c r="V19" s="32" t="str">
        <f aca="false">IF(OR(J19="",IF(R19&lt;&gt;"",R19,N19)=""),"",(IF(R19&lt;&gt;"",R19,N19)-J19)*100)</f>
        <v/>
      </c>
      <c r="W19" s="33" t="str">
        <f aca="false">IF(OR(K19="",IF(S19&lt;&gt;"",S19,O19)=""),"",K19-IF(S19&lt;&gt;"",S19,O19))</f>
        <v/>
      </c>
      <c r="X19" s="34" t="str">
        <f aca="false">IF(F19="","",IF(E19="Redirected (301)",IF(AA19="","Pending","Redirected – see target"),IF(OR(AA19="",H19=""),"Pending",IF(H19=0,IF(AA19&gt;0,"Win","Neutral"),IF(AA19&gt;=H19*(1+'How to use'!$C$15),"Win",IF(AA19&lt;=H19*(1+'How to use'!$C$16),"Loss","Neutral"))))))</f>
        <v/>
      </c>
      <c r="Y19" s="35" t="str">
        <f aca="false">IF(OR(F19="",C19=""),"",IF(P19&lt;&gt;"","Done",IF(L19&lt;&gt;"",C19+'How to use'!$C$19+'How to use'!$C$17,C19+'How to use'!$C$18+'How to use'!$C$17)))</f>
        <v/>
      </c>
      <c r="Z19" s="9"/>
      <c r="AA19" s="36" t="str">
        <f aca="false">IF(P19&lt;&gt;"",P19,IF(L19&lt;&gt;"",L19,""))</f>
        <v/>
      </c>
      <c r="AB19" s="36" t="str">
        <f aca="false">IF(Q19&lt;&gt;"",Q19,IF(M19&lt;&gt;"",M19,""))</f>
        <v/>
      </c>
    </row>
    <row r="20" customFormat="false" ht="15" hidden="false" customHeight="false" outlineLevel="0" collapsed="false">
      <c r="A20" s="9"/>
      <c r="B20" s="9"/>
      <c r="C20" s="26"/>
      <c r="D20" s="9"/>
      <c r="E20" s="9"/>
      <c r="F20" s="9"/>
      <c r="G20" s="27"/>
      <c r="H20" s="28"/>
      <c r="I20" s="28"/>
      <c r="J20" s="29" t="str">
        <f aca="false">IF(OR(H20="",I20="",I20=0),"",H20/I20)</f>
        <v/>
      </c>
      <c r="K20" s="30"/>
      <c r="L20" s="28"/>
      <c r="M20" s="28"/>
      <c r="N20" s="29" t="str">
        <f aca="false">IF(OR(L20="",M20="",M20=0),"",L20/M20)</f>
        <v/>
      </c>
      <c r="O20" s="30"/>
      <c r="P20" s="28"/>
      <c r="Q20" s="28"/>
      <c r="R20" s="29" t="str">
        <f aca="false">IF(OR(P20="",Q20="",Q20=0),"",P20/Q20)</f>
        <v/>
      </c>
      <c r="S20" s="30"/>
      <c r="T20" s="31" t="str">
        <f aca="false">IF(OR(AA20="",H20="",H20=0),"",AA20/H20-1)</f>
        <v/>
      </c>
      <c r="U20" s="31" t="str">
        <f aca="false">IF(OR(AB20="",I20="",I20=0),"",AB20/I20-1)</f>
        <v/>
      </c>
      <c r="V20" s="32" t="str">
        <f aca="false">IF(OR(J20="",IF(R20&lt;&gt;"",R20,N20)=""),"",(IF(R20&lt;&gt;"",R20,N20)-J20)*100)</f>
        <v/>
      </c>
      <c r="W20" s="33" t="str">
        <f aca="false">IF(OR(K20="",IF(S20&lt;&gt;"",S20,O20)=""),"",K20-IF(S20&lt;&gt;"",S20,O20))</f>
        <v/>
      </c>
      <c r="X20" s="34" t="str">
        <f aca="false">IF(F20="","",IF(E20="Redirected (301)",IF(AA20="","Pending","Redirected – see target"),IF(OR(AA20="",H20=""),"Pending",IF(H20=0,IF(AA20&gt;0,"Win","Neutral"),IF(AA20&gt;=H20*(1+'How to use'!$C$15),"Win",IF(AA20&lt;=H20*(1+'How to use'!$C$16),"Loss","Neutral"))))))</f>
        <v/>
      </c>
      <c r="Y20" s="35" t="str">
        <f aca="false">IF(OR(F20="",C20=""),"",IF(P20&lt;&gt;"","Done",IF(L20&lt;&gt;"",C20+'How to use'!$C$19+'How to use'!$C$17,C20+'How to use'!$C$18+'How to use'!$C$17)))</f>
        <v/>
      </c>
      <c r="Z20" s="9"/>
      <c r="AA20" s="36" t="str">
        <f aca="false">IF(P20&lt;&gt;"",P20,IF(L20&lt;&gt;"",L20,""))</f>
        <v/>
      </c>
      <c r="AB20" s="36" t="str">
        <f aca="false">IF(Q20&lt;&gt;"",Q20,IF(M20&lt;&gt;"",M20,""))</f>
        <v/>
      </c>
    </row>
    <row r="21" customFormat="false" ht="15" hidden="false" customHeight="false" outlineLevel="0" collapsed="false">
      <c r="A21" s="9"/>
      <c r="B21" s="9"/>
      <c r="C21" s="26"/>
      <c r="D21" s="9"/>
      <c r="E21" s="9"/>
      <c r="F21" s="9"/>
      <c r="G21" s="27"/>
      <c r="H21" s="28"/>
      <c r="I21" s="28"/>
      <c r="J21" s="29" t="str">
        <f aca="false">IF(OR(H21="",I21="",I21=0),"",H21/I21)</f>
        <v/>
      </c>
      <c r="K21" s="30"/>
      <c r="L21" s="28"/>
      <c r="M21" s="28"/>
      <c r="N21" s="29" t="str">
        <f aca="false">IF(OR(L21="",M21="",M21=0),"",L21/M21)</f>
        <v/>
      </c>
      <c r="O21" s="30"/>
      <c r="P21" s="28"/>
      <c r="Q21" s="28"/>
      <c r="R21" s="29" t="str">
        <f aca="false">IF(OR(P21="",Q21="",Q21=0),"",P21/Q21)</f>
        <v/>
      </c>
      <c r="S21" s="30"/>
      <c r="T21" s="31" t="str">
        <f aca="false">IF(OR(AA21="",H21="",H21=0),"",AA21/H21-1)</f>
        <v/>
      </c>
      <c r="U21" s="31" t="str">
        <f aca="false">IF(OR(AB21="",I21="",I21=0),"",AB21/I21-1)</f>
        <v/>
      </c>
      <c r="V21" s="32" t="str">
        <f aca="false">IF(OR(J21="",IF(R21&lt;&gt;"",R21,N21)=""),"",(IF(R21&lt;&gt;"",R21,N21)-J21)*100)</f>
        <v/>
      </c>
      <c r="W21" s="33" t="str">
        <f aca="false">IF(OR(K21="",IF(S21&lt;&gt;"",S21,O21)=""),"",K21-IF(S21&lt;&gt;"",S21,O21))</f>
        <v/>
      </c>
      <c r="X21" s="34" t="str">
        <f aca="false">IF(F21="","",IF(E21="Redirected (301)",IF(AA21="","Pending","Redirected – see target"),IF(OR(AA21="",H21=""),"Pending",IF(H21=0,IF(AA21&gt;0,"Win","Neutral"),IF(AA21&gt;=H21*(1+'How to use'!$C$15),"Win",IF(AA21&lt;=H21*(1+'How to use'!$C$16),"Loss","Neutral"))))))</f>
        <v/>
      </c>
      <c r="Y21" s="35" t="str">
        <f aca="false">IF(OR(F21="",C21=""),"",IF(P21&lt;&gt;"","Done",IF(L21&lt;&gt;"",C21+'How to use'!$C$19+'How to use'!$C$17,C21+'How to use'!$C$18+'How to use'!$C$17)))</f>
        <v/>
      </c>
      <c r="Z21" s="9"/>
      <c r="AA21" s="36" t="str">
        <f aca="false">IF(P21&lt;&gt;"",P21,IF(L21&lt;&gt;"",L21,""))</f>
        <v/>
      </c>
      <c r="AB21" s="36" t="str">
        <f aca="false">IF(Q21&lt;&gt;"",Q21,IF(M21&lt;&gt;"",M21,""))</f>
        <v/>
      </c>
    </row>
    <row r="22" customFormat="false" ht="15" hidden="false" customHeight="false" outlineLevel="0" collapsed="false">
      <c r="A22" s="9"/>
      <c r="B22" s="9"/>
      <c r="C22" s="26"/>
      <c r="D22" s="9"/>
      <c r="E22" s="9"/>
      <c r="F22" s="9"/>
      <c r="G22" s="27"/>
      <c r="H22" s="28"/>
      <c r="I22" s="28"/>
      <c r="J22" s="29" t="str">
        <f aca="false">IF(OR(H22="",I22="",I22=0),"",H22/I22)</f>
        <v/>
      </c>
      <c r="K22" s="30"/>
      <c r="L22" s="28"/>
      <c r="M22" s="28"/>
      <c r="N22" s="29" t="str">
        <f aca="false">IF(OR(L22="",M22="",M22=0),"",L22/M22)</f>
        <v/>
      </c>
      <c r="O22" s="30"/>
      <c r="P22" s="28"/>
      <c r="Q22" s="28"/>
      <c r="R22" s="29" t="str">
        <f aca="false">IF(OR(P22="",Q22="",Q22=0),"",P22/Q22)</f>
        <v/>
      </c>
      <c r="S22" s="30"/>
      <c r="T22" s="31" t="str">
        <f aca="false">IF(OR(AA22="",H22="",H22=0),"",AA22/H22-1)</f>
        <v/>
      </c>
      <c r="U22" s="31" t="str">
        <f aca="false">IF(OR(AB22="",I22="",I22=0),"",AB22/I22-1)</f>
        <v/>
      </c>
      <c r="V22" s="32" t="str">
        <f aca="false">IF(OR(J22="",IF(R22&lt;&gt;"",R22,N22)=""),"",(IF(R22&lt;&gt;"",R22,N22)-J22)*100)</f>
        <v/>
      </c>
      <c r="W22" s="33" t="str">
        <f aca="false">IF(OR(K22="",IF(S22&lt;&gt;"",S22,O22)=""),"",K22-IF(S22&lt;&gt;"",S22,O22))</f>
        <v/>
      </c>
      <c r="X22" s="34" t="str">
        <f aca="false">IF(F22="","",IF(E22="Redirected (301)",IF(AA22="","Pending","Redirected – see target"),IF(OR(AA22="",H22=""),"Pending",IF(H22=0,IF(AA22&gt;0,"Win","Neutral"),IF(AA22&gt;=H22*(1+'How to use'!$C$15),"Win",IF(AA22&lt;=H22*(1+'How to use'!$C$16),"Loss","Neutral"))))))</f>
        <v/>
      </c>
      <c r="Y22" s="35" t="str">
        <f aca="false">IF(OR(F22="",C22=""),"",IF(P22&lt;&gt;"","Done",IF(L22&lt;&gt;"",C22+'How to use'!$C$19+'How to use'!$C$17,C22+'How to use'!$C$18+'How to use'!$C$17)))</f>
        <v/>
      </c>
      <c r="Z22" s="9"/>
      <c r="AA22" s="36" t="str">
        <f aca="false">IF(P22&lt;&gt;"",P22,IF(L22&lt;&gt;"",L22,""))</f>
        <v/>
      </c>
      <c r="AB22" s="36" t="str">
        <f aca="false">IF(Q22&lt;&gt;"",Q22,IF(M22&lt;&gt;"",M22,""))</f>
        <v/>
      </c>
    </row>
    <row r="23" customFormat="false" ht="15" hidden="false" customHeight="false" outlineLevel="0" collapsed="false">
      <c r="A23" s="9"/>
      <c r="B23" s="9"/>
      <c r="C23" s="26"/>
      <c r="D23" s="9"/>
      <c r="E23" s="9"/>
      <c r="F23" s="9"/>
      <c r="G23" s="27"/>
      <c r="H23" s="28"/>
      <c r="I23" s="28"/>
      <c r="J23" s="29" t="str">
        <f aca="false">IF(OR(H23="",I23="",I23=0),"",H23/I23)</f>
        <v/>
      </c>
      <c r="K23" s="30"/>
      <c r="L23" s="28"/>
      <c r="M23" s="28"/>
      <c r="N23" s="29" t="str">
        <f aca="false">IF(OR(L23="",M23="",M23=0),"",L23/M23)</f>
        <v/>
      </c>
      <c r="O23" s="30"/>
      <c r="P23" s="28"/>
      <c r="Q23" s="28"/>
      <c r="R23" s="29" t="str">
        <f aca="false">IF(OR(P23="",Q23="",Q23=0),"",P23/Q23)</f>
        <v/>
      </c>
      <c r="S23" s="30"/>
      <c r="T23" s="31" t="str">
        <f aca="false">IF(OR(AA23="",H23="",H23=0),"",AA23/H23-1)</f>
        <v/>
      </c>
      <c r="U23" s="31" t="str">
        <f aca="false">IF(OR(AB23="",I23="",I23=0),"",AB23/I23-1)</f>
        <v/>
      </c>
      <c r="V23" s="32" t="str">
        <f aca="false">IF(OR(J23="",IF(R23&lt;&gt;"",R23,N23)=""),"",(IF(R23&lt;&gt;"",R23,N23)-J23)*100)</f>
        <v/>
      </c>
      <c r="W23" s="33" t="str">
        <f aca="false">IF(OR(K23="",IF(S23&lt;&gt;"",S23,O23)=""),"",K23-IF(S23&lt;&gt;"",S23,O23))</f>
        <v/>
      </c>
      <c r="X23" s="34" t="str">
        <f aca="false">IF(F23="","",IF(E23="Redirected (301)",IF(AA23="","Pending","Redirected – see target"),IF(OR(AA23="",H23=""),"Pending",IF(H23=0,IF(AA23&gt;0,"Win","Neutral"),IF(AA23&gt;=H23*(1+'How to use'!$C$15),"Win",IF(AA23&lt;=H23*(1+'How to use'!$C$16),"Loss","Neutral"))))))</f>
        <v/>
      </c>
      <c r="Y23" s="35" t="str">
        <f aca="false">IF(OR(F23="",C23=""),"",IF(P23&lt;&gt;"","Done",IF(L23&lt;&gt;"",C23+'How to use'!$C$19+'How to use'!$C$17,C23+'How to use'!$C$18+'How to use'!$C$17)))</f>
        <v/>
      </c>
      <c r="Z23" s="9"/>
      <c r="AA23" s="36" t="str">
        <f aca="false">IF(P23&lt;&gt;"",P23,IF(L23&lt;&gt;"",L23,""))</f>
        <v/>
      </c>
      <c r="AB23" s="36" t="str">
        <f aca="false">IF(Q23&lt;&gt;"",Q23,IF(M23&lt;&gt;"",M23,""))</f>
        <v/>
      </c>
    </row>
    <row r="24" customFormat="false" ht="15" hidden="false" customHeight="false" outlineLevel="0" collapsed="false">
      <c r="A24" s="9"/>
      <c r="B24" s="9"/>
      <c r="C24" s="26"/>
      <c r="D24" s="9"/>
      <c r="E24" s="9"/>
      <c r="F24" s="9"/>
      <c r="G24" s="27"/>
      <c r="H24" s="28"/>
      <c r="I24" s="28"/>
      <c r="J24" s="29" t="str">
        <f aca="false">IF(OR(H24="",I24="",I24=0),"",H24/I24)</f>
        <v/>
      </c>
      <c r="K24" s="30"/>
      <c r="L24" s="28"/>
      <c r="M24" s="28"/>
      <c r="N24" s="29" t="str">
        <f aca="false">IF(OR(L24="",M24="",M24=0),"",L24/M24)</f>
        <v/>
      </c>
      <c r="O24" s="30"/>
      <c r="P24" s="28"/>
      <c r="Q24" s="28"/>
      <c r="R24" s="29" t="str">
        <f aca="false">IF(OR(P24="",Q24="",Q24=0),"",P24/Q24)</f>
        <v/>
      </c>
      <c r="S24" s="30"/>
      <c r="T24" s="31" t="str">
        <f aca="false">IF(OR(AA24="",H24="",H24=0),"",AA24/H24-1)</f>
        <v/>
      </c>
      <c r="U24" s="31" t="str">
        <f aca="false">IF(OR(AB24="",I24="",I24=0),"",AB24/I24-1)</f>
        <v/>
      </c>
      <c r="V24" s="32" t="str">
        <f aca="false">IF(OR(J24="",IF(R24&lt;&gt;"",R24,N24)=""),"",(IF(R24&lt;&gt;"",R24,N24)-J24)*100)</f>
        <v/>
      </c>
      <c r="W24" s="33" t="str">
        <f aca="false">IF(OR(K24="",IF(S24&lt;&gt;"",S24,O24)=""),"",K24-IF(S24&lt;&gt;"",S24,O24))</f>
        <v/>
      </c>
      <c r="X24" s="34" t="str">
        <f aca="false">IF(F24="","",IF(E24="Redirected (301)",IF(AA24="","Pending","Redirected – see target"),IF(OR(AA24="",H24=""),"Pending",IF(H24=0,IF(AA24&gt;0,"Win","Neutral"),IF(AA24&gt;=H24*(1+'How to use'!$C$15),"Win",IF(AA24&lt;=H24*(1+'How to use'!$C$16),"Loss","Neutral"))))))</f>
        <v/>
      </c>
      <c r="Y24" s="35" t="str">
        <f aca="false">IF(OR(F24="",C24=""),"",IF(P24&lt;&gt;"","Done",IF(L24&lt;&gt;"",C24+'How to use'!$C$19+'How to use'!$C$17,C24+'How to use'!$C$18+'How to use'!$C$17)))</f>
        <v/>
      </c>
      <c r="Z24" s="9"/>
      <c r="AA24" s="36" t="str">
        <f aca="false">IF(P24&lt;&gt;"",P24,IF(L24&lt;&gt;"",L24,""))</f>
        <v/>
      </c>
      <c r="AB24" s="36" t="str">
        <f aca="false">IF(Q24&lt;&gt;"",Q24,IF(M24&lt;&gt;"",M24,""))</f>
        <v/>
      </c>
    </row>
    <row r="25" customFormat="false" ht="15" hidden="false" customHeight="false" outlineLevel="0" collapsed="false">
      <c r="A25" s="9"/>
      <c r="B25" s="9"/>
      <c r="C25" s="26"/>
      <c r="D25" s="9"/>
      <c r="E25" s="9"/>
      <c r="F25" s="9"/>
      <c r="G25" s="27"/>
      <c r="H25" s="28"/>
      <c r="I25" s="28"/>
      <c r="J25" s="29" t="str">
        <f aca="false">IF(OR(H25="",I25="",I25=0),"",H25/I25)</f>
        <v/>
      </c>
      <c r="K25" s="30"/>
      <c r="L25" s="28"/>
      <c r="M25" s="28"/>
      <c r="N25" s="29" t="str">
        <f aca="false">IF(OR(L25="",M25="",M25=0),"",L25/M25)</f>
        <v/>
      </c>
      <c r="O25" s="30"/>
      <c r="P25" s="28"/>
      <c r="Q25" s="28"/>
      <c r="R25" s="29" t="str">
        <f aca="false">IF(OR(P25="",Q25="",Q25=0),"",P25/Q25)</f>
        <v/>
      </c>
      <c r="S25" s="30"/>
      <c r="T25" s="31" t="str">
        <f aca="false">IF(OR(AA25="",H25="",H25=0),"",AA25/H25-1)</f>
        <v/>
      </c>
      <c r="U25" s="31" t="str">
        <f aca="false">IF(OR(AB25="",I25="",I25=0),"",AB25/I25-1)</f>
        <v/>
      </c>
      <c r="V25" s="32" t="str">
        <f aca="false">IF(OR(J25="",IF(R25&lt;&gt;"",R25,N25)=""),"",(IF(R25&lt;&gt;"",R25,N25)-J25)*100)</f>
        <v/>
      </c>
      <c r="W25" s="33" t="str">
        <f aca="false">IF(OR(K25="",IF(S25&lt;&gt;"",S25,O25)=""),"",K25-IF(S25&lt;&gt;"",S25,O25))</f>
        <v/>
      </c>
      <c r="X25" s="34" t="str">
        <f aca="false">IF(F25="","",IF(E25="Redirected (301)",IF(AA25="","Pending","Redirected – see target"),IF(OR(AA25="",H25=""),"Pending",IF(H25=0,IF(AA25&gt;0,"Win","Neutral"),IF(AA25&gt;=H25*(1+'How to use'!$C$15),"Win",IF(AA25&lt;=H25*(1+'How to use'!$C$16),"Loss","Neutral"))))))</f>
        <v/>
      </c>
      <c r="Y25" s="35" t="str">
        <f aca="false">IF(OR(F25="",C25=""),"",IF(P25&lt;&gt;"","Done",IF(L25&lt;&gt;"",C25+'How to use'!$C$19+'How to use'!$C$17,C25+'How to use'!$C$18+'How to use'!$C$17)))</f>
        <v/>
      </c>
      <c r="Z25" s="9"/>
      <c r="AA25" s="36" t="str">
        <f aca="false">IF(P25&lt;&gt;"",P25,IF(L25&lt;&gt;"",L25,""))</f>
        <v/>
      </c>
      <c r="AB25" s="36" t="str">
        <f aca="false">IF(Q25&lt;&gt;"",Q25,IF(M25&lt;&gt;"",M25,""))</f>
        <v/>
      </c>
    </row>
    <row r="26" customFormat="false" ht="15" hidden="false" customHeight="false" outlineLevel="0" collapsed="false">
      <c r="A26" s="9"/>
      <c r="B26" s="9"/>
      <c r="C26" s="26"/>
      <c r="D26" s="9"/>
      <c r="E26" s="9"/>
      <c r="F26" s="9"/>
      <c r="G26" s="27"/>
      <c r="H26" s="28"/>
      <c r="I26" s="28"/>
      <c r="J26" s="29" t="str">
        <f aca="false">IF(OR(H26="",I26="",I26=0),"",H26/I26)</f>
        <v/>
      </c>
      <c r="K26" s="30"/>
      <c r="L26" s="28"/>
      <c r="M26" s="28"/>
      <c r="N26" s="29" t="str">
        <f aca="false">IF(OR(L26="",M26="",M26=0),"",L26/M26)</f>
        <v/>
      </c>
      <c r="O26" s="30"/>
      <c r="P26" s="28"/>
      <c r="Q26" s="28"/>
      <c r="R26" s="29" t="str">
        <f aca="false">IF(OR(P26="",Q26="",Q26=0),"",P26/Q26)</f>
        <v/>
      </c>
      <c r="S26" s="30"/>
      <c r="T26" s="31" t="str">
        <f aca="false">IF(OR(AA26="",H26="",H26=0),"",AA26/H26-1)</f>
        <v/>
      </c>
      <c r="U26" s="31" t="str">
        <f aca="false">IF(OR(AB26="",I26="",I26=0),"",AB26/I26-1)</f>
        <v/>
      </c>
      <c r="V26" s="32" t="str">
        <f aca="false">IF(OR(J26="",IF(R26&lt;&gt;"",R26,N26)=""),"",(IF(R26&lt;&gt;"",R26,N26)-J26)*100)</f>
        <v/>
      </c>
      <c r="W26" s="33" t="str">
        <f aca="false">IF(OR(K26="",IF(S26&lt;&gt;"",S26,O26)=""),"",K26-IF(S26&lt;&gt;"",S26,O26))</f>
        <v/>
      </c>
      <c r="X26" s="34" t="str">
        <f aca="false">IF(F26="","",IF(E26="Redirected (301)",IF(AA26="","Pending","Redirected – see target"),IF(OR(AA26="",H26=""),"Pending",IF(H26=0,IF(AA26&gt;0,"Win","Neutral"),IF(AA26&gt;=H26*(1+'How to use'!$C$15),"Win",IF(AA26&lt;=H26*(1+'How to use'!$C$16),"Loss","Neutral"))))))</f>
        <v/>
      </c>
      <c r="Y26" s="35" t="str">
        <f aca="false">IF(OR(F26="",C26=""),"",IF(P26&lt;&gt;"","Done",IF(L26&lt;&gt;"",C26+'How to use'!$C$19+'How to use'!$C$17,C26+'How to use'!$C$18+'How to use'!$C$17)))</f>
        <v/>
      </c>
      <c r="Z26" s="9"/>
      <c r="AA26" s="36" t="str">
        <f aca="false">IF(P26&lt;&gt;"",P26,IF(L26&lt;&gt;"",L26,""))</f>
        <v/>
      </c>
      <c r="AB26" s="36" t="str">
        <f aca="false">IF(Q26&lt;&gt;"",Q26,IF(M26&lt;&gt;"",M26,""))</f>
        <v/>
      </c>
    </row>
    <row r="27" customFormat="false" ht="15" hidden="false" customHeight="false" outlineLevel="0" collapsed="false">
      <c r="A27" s="9"/>
      <c r="B27" s="9"/>
      <c r="C27" s="26"/>
      <c r="D27" s="9"/>
      <c r="E27" s="9"/>
      <c r="F27" s="9"/>
      <c r="G27" s="27"/>
      <c r="H27" s="28"/>
      <c r="I27" s="28"/>
      <c r="J27" s="29" t="str">
        <f aca="false">IF(OR(H27="",I27="",I27=0),"",H27/I27)</f>
        <v/>
      </c>
      <c r="K27" s="30"/>
      <c r="L27" s="28"/>
      <c r="M27" s="28"/>
      <c r="N27" s="29" t="str">
        <f aca="false">IF(OR(L27="",M27="",M27=0),"",L27/M27)</f>
        <v/>
      </c>
      <c r="O27" s="30"/>
      <c r="P27" s="28"/>
      <c r="Q27" s="28"/>
      <c r="R27" s="29" t="str">
        <f aca="false">IF(OR(P27="",Q27="",Q27=0),"",P27/Q27)</f>
        <v/>
      </c>
      <c r="S27" s="30"/>
      <c r="T27" s="31" t="str">
        <f aca="false">IF(OR(AA27="",H27="",H27=0),"",AA27/H27-1)</f>
        <v/>
      </c>
      <c r="U27" s="31" t="str">
        <f aca="false">IF(OR(AB27="",I27="",I27=0),"",AB27/I27-1)</f>
        <v/>
      </c>
      <c r="V27" s="32" t="str">
        <f aca="false">IF(OR(J27="",IF(R27&lt;&gt;"",R27,N27)=""),"",(IF(R27&lt;&gt;"",R27,N27)-J27)*100)</f>
        <v/>
      </c>
      <c r="W27" s="33" t="str">
        <f aca="false">IF(OR(K27="",IF(S27&lt;&gt;"",S27,O27)=""),"",K27-IF(S27&lt;&gt;"",S27,O27))</f>
        <v/>
      </c>
      <c r="X27" s="34" t="str">
        <f aca="false">IF(F27="","",IF(E27="Redirected (301)",IF(AA27="","Pending","Redirected – see target"),IF(OR(AA27="",H27=""),"Pending",IF(H27=0,IF(AA27&gt;0,"Win","Neutral"),IF(AA27&gt;=H27*(1+'How to use'!$C$15),"Win",IF(AA27&lt;=H27*(1+'How to use'!$C$16),"Loss","Neutral"))))))</f>
        <v/>
      </c>
      <c r="Y27" s="35" t="str">
        <f aca="false">IF(OR(F27="",C27=""),"",IF(P27&lt;&gt;"","Done",IF(L27&lt;&gt;"",C27+'How to use'!$C$19+'How to use'!$C$17,C27+'How to use'!$C$18+'How to use'!$C$17)))</f>
        <v/>
      </c>
      <c r="Z27" s="9"/>
      <c r="AA27" s="36" t="str">
        <f aca="false">IF(P27&lt;&gt;"",P27,IF(L27&lt;&gt;"",L27,""))</f>
        <v/>
      </c>
      <c r="AB27" s="36" t="str">
        <f aca="false">IF(Q27&lt;&gt;"",Q27,IF(M27&lt;&gt;"",M27,""))</f>
        <v/>
      </c>
    </row>
    <row r="28" customFormat="false" ht="15" hidden="false" customHeight="false" outlineLevel="0" collapsed="false">
      <c r="A28" s="9"/>
      <c r="B28" s="9"/>
      <c r="C28" s="26"/>
      <c r="D28" s="9"/>
      <c r="E28" s="9"/>
      <c r="F28" s="9"/>
      <c r="G28" s="27"/>
      <c r="H28" s="28"/>
      <c r="I28" s="28"/>
      <c r="J28" s="29" t="str">
        <f aca="false">IF(OR(H28="",I28="",I28=0),"",H28/I28)</f>
        <v/>
      </c>
      <c r="K28" s="30"/>
      <c r="L28" s="28"/>
      <c r="M28" s="28"/>
      <c r="N28" s="29" t="str">
        <f aca="false">IF(OR(L28="",M28="",M28=0),"",L28/M28)</f>
        <v/>
      </c>
      <c r="O28" s="30"/>
      <c r="P28" s="28"/>
      <c r="Q28" s="28"/>
      <c r="R28" s="29" t="str">
        <f aca="false">IF(OR(P28="",Q28="",Q28=0),"",P28/Q28)</f>
        <v/>
      </c>
      <c r="S28" s="30"/>
      <c r="T28" s="31" t="str">
        <f aca="false">IF(OR(AA28="",H28="",H28=0),"",AA28/H28-1)</f>
        <v/>
      </c>
      <c r="U28" s="31" t="str">
        <f aca="false">IF(OR(AB28="",I28="",I28=0),"",AB28/I28-1)</f>
        <v/>
      </c>
      <c r="V28" s="32" t="str">
        <f aca="false">IF(OR(J28="",IF(R28&lt;&gt;"",R28,N28)=""),"",(IF(R28&lt;&gt;"",R28,N28)-J28)*100)</f>
        <v/>
      </c>
      <c r="W28" s="33" t="str">
        <f aca="false">IF(OR(K28="",IF(S28&lt;&gt;"",S28,O28)=""),"",K28-IF(S28&lt;&gt;"",S28,O28))</f>
        <v/>
      </c>
      <c r="X28" s="34" t="str">
        <f aca="false">IF(F28="","",IF(E28="Redirected (301)",IF(AA28="","Pending","Redirected – see target"),IF(OR(AA28="",H28=""),"Pending",IF(H28=0,IF(AA28&gt;0,"Win","Neutral"),IF(AA28&gt;=H28*(1+'How to use'!$C$15),"Win",IF(AA28&lt;=H28*(1+'How to use'!$C$16),"Loss","Neutral"))))))</f>
        <v/>
      </c>
      <c r="Y28" s="35" t="str">
        <f aca="false">IF(OR(F28="",C28=""),"",IF(P28&lt;&gt;"","Done",IF(L28&lt;&gt;"",C28+'How to use'!$C$19+'How to use'!$C$17,C28+'How to use'!$C$18+'How to use'!$C$17)))</f>
        <v/>
      </c>
      <c r="Z28" s="9"/>
      <c r="AA28" s="36" t="str">
        <f aca="false">IF(P28&lt;&gt;"",P28,IF(L28&lt;&gt;"",L28,""))</f>
        <v/>
      </c>
      <c r="AB28" s="36" t="str">
        <f aca="false">IF(Q28&lt;&gt;"",Q28,IF(M28&lt;&gt;"",M28,""))</f>
        <v/>
      </c>
    </row>
    <row r="29" customFormat="false" ht="15" hidden="false" customHeight="false" outlineLevel="0" collapsed="false">
      <c r="A29" s="9"/>
      <c r="B29" s="9"/>
      <c r="C29" s="26"/>
      <c r="D29" s="9"/>
      <c r="E29" s="9"/>
      <c r="F29" s="9"/>
      <c r="G29" s="27"/>
      <c r="H29" s="28"/>
      <c r="I29" s="28"/>
      <c r="J29" s="29" t="str">
        <f aca="false">IF(OR(H29="",I29="",I29=0),"",H29/I29)</f>
        <v/>
      </c>
      <c r="K29" s="30"/>
      <c r="L29" s="28"/>
      <c r="M29" s="28"/>
      <c r="N29" s="29" t="str">
        <f aca="false">IF(OR(L29="",M29="",M29=0),"",L29/M29)</f>
        <v/>
      </c>
      <c r="O29" s="30"/>
      <c r="P29" s="28"/>
      <c r="Q29" s="28"/>
      <c r="R29" s="29" t="str">
        <f aca="false">IF(OR(P29="",Q29="",Q29=0),"",P29/Q29)</f>
        <v/>
      </c>
      <c r="S29" s="30"/>
      <c r="T29" s="31" t="str">
        <f aca="false">IF(OR(AA29="",H29="",H29=0),"",AA29/H29-1)</f>
        <v/>
      </c>
      <c r="U29" s="31" t="str">
        <f aca="false">IF(OR(AB29="",I29="",I29=0),"",AB29/I29-1)</f>
        <v/>
      </c>
      <c r="V29" s="32" t="str">
        <f aca="false">IF(OR(J29="",IF(R29&lt;&gt;"",R29,N29)=""),"",(IF(R29&lt;&gt;"",R29,N29)-J29)*100)</f>
        <v/>
      </c>
      <c r="W29" s="33" t="str">
        <f aca="false">IF(OR(K29="",IF(S29&lt;&gt;"",S29,O29)=""),"",K29-IF(S29&lt;&gt;"",S29,O29))</f>
        <v/>
      </c>
      <c r="X29" s="34" t="str">
        <f aca="false">IF(F29="","",IF(E29="Redirected (301)",IF(AA29="","Pending","Redirected – see target"),IF(OR(AA29="",H29=""),"Pending",IF(H29=0,IF(AA29&gt;0,"Win","Neutral"),IF(AA29&gt;=H29*(1+'How to use'!$C$15),"Win",IF(AA29&lt;=H29*(1+'How to use'!$C$16),"Loss","Neutral"))))))</f>
        <v/>
      </c>
      <c r="Y29" s="35" t="str">
        <f aca="false">IF(OR(F29="",C29=""),"",IF(P29&lt;&gt;"","Done",IF(L29&lt;&gt;"",C29+'How to use'!$C$19+'How to use'!$C$17,C29+'How to use'!$C$18+'How to use'!$C$17)))</f>
        <v/>
      </c>
      <c r="Z29" s="9"/>
      <c r="AA29" s="36" t="str">
        <f aca="false">IF(P29&lt;&gt;"",P29,IF(L29&lt;&gt;"",L29,""))</f>
        <v/>
      </c>
      <c r="AB29" s="36" t="str">
        <f aca="false">IF(Q29&lt;&gt;"",Q29,IF(M29&lt;&gt;"",M29,""))</f>
        <v/>
      </c>
    </row>
    <row r="30" customFormat="false" ht="15" hidden="false" customHeight="false" outlineLevel="0" collapsed="false">
      <c r="A30" s="9"/>
      <c r="B30" s="9"/>
      <c r="C30" s="26"/>
      <c r="D30" s="9"/>
      <c r="E30" s="9"/>
      <c r="F30" s="9"/>
      <c r="G30" s="27"/>
      <c r="H30" s="28"/>
      <c r="I30" s="28"/>
      <c r="J30" s="29" t="str">
        <f aca="false">IF(OR(H30="",I30="",I30=0),"",H30/I30)</f>
        <v/>
      </c>
      <c r="K30" s="30"/>
      <c r="L30" s="28"/>
      <c r="M30" s="28"/>
      <c r="N30" s="29" t="str">
        <f aca="false">IF(OR(L30="",M30="",M30=0),"",L30/M30)</f>
        <v/>
      </c>
      <c r="O30" s="30"/>
      <c r="P30" s="28"/>
      <c r="Q30" s="28"/>
      <c r="R30" s="29" t="str">
        <f aca="false">IF(OR(P30="",Q30="",Q30=0),"",P30/Q30)</f>
        <v/>
      </c>
      <c r="S30" s="30"/>
      <c r="T30" s="31" t="str">
        <f aca="false">IF(OR(AA30="",H30="",H30=0),"",AA30/H30-1)</f>
        <v/>
      </c>
      <c r="U30" s="31" t="str">
        <f aca="false">IF(OR(AB30="",I30="",I30=0),"",AB30/I30-1)</f>
        <v/>
      </c>
      <c r="V30" s="32" t="str">
        <f aca="false">IF(OR(J30="",IF(R30&lt;&gt;"",R30,N30)=""),"",(IF(R30&lt;&gt;"",R30,N30)-J30)*100)</f>
        <v/>
      </c>
      <c r="W30" s="33" t="str">
        <f aca="false">IF(OR(K30="",IF(S30&lt;&gt;"",S30,O30)=""),"",K30-IF(S30&lt;&gt;"",S30,O30))</f>
        <v/>
      </c>
      <c r="X30" s="34" t="str">
        <f aca="false">IF(F30="","",IF(E30="Redirected (301)",IF(AA30="","Pending","Redirected – see target"),IF(OR(AA30="",H30=""),"Pending",IF(H30=0,IF(AA30&gt;0,"Win","Neutral"),IF(AA30&gt;=H30*(1+'How to use'!$C$15),"Win",IF(AA30&lt;=H30*(1+'How to use'!$C$16),"Loss","Neutral"))))))</f>
        <v/>
      </c>
      <c r="Y30" s="35" t="str">
        <f aca="false">IF(OR(F30="",C30=""),"",IF(P30&lt;&gt;"","Done",IF(L30&lt;&gt;"",C30+'How to use'!$C$19+'How to use'!$C$17,C30+'How to use'!$C$18+'How to use'!$C$17)))</f>
        <v/>
      </c>
      <c r="Z30" s="9"/>
      <c r="AA30" s="36" t="str">
        <f aca="false">IF(P30&lt;&gt;"",P30,IF(L30&lt;&gt;"",L30,""))</f>
        <v/>
      </c>
      <c r="AB30" s="36" t="str">
        <f aca="false">IF(Q30&lt;&gt;"",Q30,IF(M30&lt;&gt;"",M30,""))</f>
        <v/>
      </c>
    </row>
    <row r="31" customFormat="false" ht="15" hidden="false" customHeight="false" outlineLevel="0" collapsed="false">
      <c r="A31" s="9"/>
      <c r="B31" s="9"/>
      <c r="C31" s="26"/>
      <c r="D31" s="9"/>
      <c r="E31" s="9"/>
      <c r="F31" s="9"/>
      <c r="G31" s="27"/>
      <c r="H31" s="28"/>
      <c r="I31" s="28"/>
      <c r="J31" s="29" t="str">
        <f aca="false">IF(OR(H31="",I31="",I31=0),"",H31/I31)</f>
        <v/>
      </c>
      <c r="K31" s="30"/>
      <c r="L31" s="28"/>
      <c r="M31" s="28"/>
      <c r="N31" s="29" t="str">
        <f aca="false">IF(OR(L31="",M31="",M31=0),"",L31/M31)</f>
        <v/>
      </c>
      <c r="O31" s="30"/>
      <c r="P31" s="28"/>
      <c r="Q31" s="28"/>
      <c r="R31" s="29" t="str">
        <f aca="false">IF(OR(P31="",Q31="",Q31=0),"",P31/Q31)</f>
        <v/>
      </c>
      <c r="S31" s="30"/>
      <c r="T31" s="31" t="str">
        <f aca="false">IF(OR(AA31="",H31="",H31=0),"",AA31/H31-1)</f>
        <v/>
      </c>
      <c r="U31" s="31" t="str">
        <f aca="false">IF(OR(AB31="",I31="",I31=0),"",AB31/I31-1)</f>
        <v/>
      </c>
      <c r="V31" s="32" t="str">
        <f aca="false">IF(OR(J31="",IF(R31&lt;&gt;"",R31,N31)=""),"",(IF(R31&lt;&gt;"",R31,N31)-J31)*100)</f>
        <v/>
      </c>
      <c r="W31" s="33" t="str">
        <f aca="false">IF(OR(K31="",IF(S31&lt;&gt;"",S31,O31)=""),"",K31-IF(S31&lt;&gt;"",S31,O31))</f>
        <v/>
      </c>
      <c r="X31" s="34" t="str">
        <f aca="false">IF(F31="","",IF(E31="Redirected (301)",IF(AA31="","Pending","Redirected – see target"),IF(OR(AA31="",H31=""),"Pending",IF(H31=0,IF(AA31&gt;0,"Win","Neutral"),IF(AA31&gt;=H31*(1+'How to use'!$C$15),"Win",IF(AA31&lt;=H31*(1+'How to use'!$C$16),"Loss","Neutral"))))))</f>
        <v/>
      </c>
      <c r="Y31" s="35" t="str">
        <f aca="false">IF(OR(F31="",C31=""),"",IF(P31&lt;&gt;"","Done",IF(L31&lt;&gt;"",C31+'How to use'!$C$19+'How to use'!$C$17,C31+'How to use'!$C$18+'How to use'!$C$17)))</f>
        <v/>
      </c>
      <c r="Z31" s="9"/>
      <c r="AA31" s="36" t="str">
        <f aca="false">IF(P31&lt;&gt;"",P31,IF(L31&lt;&gt;"",L31,""))</f>
        <v/>
      </c>
      <c r="AB31" s="36" t="str">
        <f aca="false">IF(Q31&lt;&gt;"",Q31,IF(M31&lt;&gt;"",M31,""))</f>
        <v/>
      </c>
    </row>
    <row r="32" customFormat="false" ht="15" hidden="false" customHeight="false" outlineLevel="0" collapsed="false">
      <c r="A32" s="9"/>
      <c r="B32" s="9"/>
      <c r="C32" s="26"/>
      <c r="D32" s="9"/>
      <c r="E32" s="9"/>
      <c r="F32" s="9"/>
      <c r="G32" s="27"/>
      <c r="H32" s="28"/>
      <c r="I32" s="28"/>
      <c r="J32" s="29" t="str">
        <f aca="false">IF(OR(H32="",I32="",I32=0),"",H32/I32)</f>
        <v/>
      </c>
      <c r="K32" s="30"/>
      <c r="L32" s="28"/>
      <c r="M32" s="28"/>
      <c r="N32" s="29" t="str">
        <f aca="false">IF(OR(L32="",M32="",M32=0),"",L32/M32)</f>
        <v/>
      </c>
      <c r="O32" s="30"/>
      <c r="P32" s="28"/>
      <c r="Q32" s="28"/>
      <c r="R32" s="29" t="str">
        <f aca="false">IF(OR(P32="",Q32="",Q32=0),"",P32/Q32)</f>
        <v/>
      </c>
      <c r="S32" s="30"/>
      <c r="T32" s="31" t="str">
        <f aca="false">IF(OR(AA32="",H32="",H32=0),"",AA32/H32-1)</f>
        <v/>
      </c>
      <c r="U32" s="31" t="str">
        <f aca="false">IF(OR(AB32="",I32="",I32=0),"",AB32/I32-1)</f>
        <v/>
      </c>
      <c r="V32" s="32" t="str">
        <f aca="false">IF(OR(J32="",IF(R32&lt;&gt;"",R32,N32)=""),"",(IF(R32&lt;&gt;"",R32,N32)-J32)*100)</f>
        <v/>
      </c>
      <c r="W32" s="33" t="str">
        <f aca="false">IF(OR(K32="",IF(S32&lt;&gt;"",S32,O32)=""),"",K32-IF(S32&lt;&gt;"",S32,O32))</f>
        <v/>
      </c>
      <c r="X32" s="34" t="str">
        <f aca="false">IF(F32="","",IF(E32="Redirected (301)",IF(AA32="","Pending","Redirected – see target"),IF(OR(AA32="",H32=""),"Pending",IF(H32=0,IF(AA32&gt;0,"Win","Neutral"),IF(AA32&gt;=H32*(1+'How to use'!$C$15),"Win",IF(AA32&lt;=H32*(1+'How to use'!$C$16),"Loss","Neutral"))))))</f>
        <v/>
      </c>
      <c r="Y32" s="35" t="str">
        <f aca="false">IF(OR(F32="",C32=""),"",IF(P32&lt;&gt;"","Done",IF(L32&lt;&gt;"",C32+'How to use'!$C$19+'How to use'!$C$17,C32+'How to use'!$C$18+'How to use'!$C$17)))</f>
        <v/>
      </c>
      <c r="Z32" s="9"/>
      <c r="AA32" s="36" t="str">
        <f aca="false">IF(P32&lt;&gt;"",P32,IF(L32&lt;&gt;"",L32,""))</f>
        <v/>
      </c>
      <c r="AB32" s="36" t="str">
        <f aca="false">IF(Q32&lt;&gt;"",Q32,IF(M32&lt;&gt;"",M32,""))</f>
        <v/>
      </c>
    </row>
    <row r="33" customFormat="false" ht="15" hidden="false" customHeight="false" outlineLevel="0" collapsed="false">
      <c r="A33" s="9"/>
      <c r="B33" s="9"/>
      <c r="C33" s="26"/>
      <c r="D33" s="9"/>
      <c r="E33" s="9"/>
      <c r="F33" s="9"/>
      <c r="G33" s="27"/>
      <c r="H33" s="28"/>
      <c r="I33" s="28"/>
      <c r="J33" s="29" t="str">
        <f aca="false">IF(OR(H33="",I33="",I33=0),"",H33/I33)</f>
        <v/>
      </c>
      <c r="K33" s="30"/>
      <c r="L33" s="28"/>
      <c r="M33" s="28"/>
      <c r="N33" s="29" t="str">
        <f aca="false">IF(OR(L33="",M33="",M33=0),"",L33/M33)</f>
        <v/>
      </c>
      <c r="O33" s="30"/>
      <c r="P33" s="28"/>
      <c r="Q33" s="28"/>
      <c r="R33" s="29" t="str">
        <f aca="false">IF(OR(P33="",Q33="",Q33=0),"",P33/Q33)</f>
        <v/>
      </c>
      <c r="S33" s="30"/>
      <c r="T33" s="31" t="str">
        <f aca="false">IF(OR(AA33="",H33="",H33=0),"",AA33/H33-1)</f>
        <v/>
      </c>
      <c r="U33" s="31" t="str">
        <f aca="false">IF(OR(AB33="",I33="",I33=0),"",AB33/I33-1)</f>
        <v/>
      </c>
      <c r="V33" s="32" t="str">
        <f aca="false">IF(OR(J33="",IF(R33&lt;&gt;"",R33,N33)=""),"",(IF(R33&lt;&gt;"",R33,N33)-J33)*100)</f>
        <v/>
      </c>
      <c r="W33" s="33" t="str">
        <f aca="false">IF(OR(K33="",IF(S33&lt;&gt;"",S33,O33)=""),"",K33-IF(S33&lt;&gt;"",S33,O33))</f>
        <v/>
      </c>
      <c r="X33" s="34" t="str">
        <f aca="false">IF(F33="","",IF(E33="Redirected (301)",IF(AA33="","Pending","Redirected – see target"),IF(OR(AA33="",H33=""),"Pending",IF(H33=0,IF(AA33&gt;0,"Win","Neutral"),IF(AA33&gt;=H33*(1+'How to use'!$C$15),"Win",IF(AA33&lt;=H33*(1+'How to use'!$C$16),"Loss","Neutral"))))))</f>
        <v/>
      </c>
      <c r="Y33" s="35" t="str">
        <f aca="false">IF(OR(F33="",C33=""),"",IF(P33&lt;&gt;"","Done",IF(L33&lt;&gt;"",C33+'How to use'!$C$19+'How to use'!$C$17,C33+'How to use'!$C$18+'How to use'!$C$17)))</f>
        <v/>
      </c>
      <c r="Z33" s="9"/>
      <c r="AA33" s="36" t="str">
        <f aca="false">IF(P33&lt;&gt;"",P33,IF(L33&lt;&gt;"",L33,""))</f>
        <v/>
      </c>
      <c r="AB33" s="36" t="str">
        <f aca="false">IF(Q33&lt;&gt;"",Q33,IF(M33&lt;&gt;"",M33,""))</f>
        <v/>
      </c>
    </row>
    <row r="34" customFormat="false" ht="15" hidden="false" customHeight="false" outlineLevel="0" collapsed="false">
      <c r="A34" s="9"/>
      <c r="B34" s="9"/>
      <c r="C34" s="26"/>
      <c r="D34" s="9"/>
      <c r="E34" s="9"/>
      <c r="F34" s="9"/>
      <c r="G34" s="27"/>
      <c r="H34" s="28"/>
      <c r="I34" s="28"/>
      <c r="J34" s="29" t="str">
        <f aca="false">IF(OR(H34="",I34="",I34=0),"",H34/I34)</f>
        <v/>
      </c>
      <c r="K34" s="30"/>
      <c r="L34" s="28"/>
      <c r="M34" s="28"/>
      <c r="N34" s="29" t="str">
        <f aca="false">IF(OR(L34="",M34="",M34=0),"",L34/M34)</f>
        <v/>
      </c>
      <c r="O34" s="30"/>
      <c r="P34" s="28"/>
      <c r="Q34" s="28"/>
      <c r="R34" s="29" t="str">
        <f aca="false">IF(OR(P34="",Q34="",Q34=0),"",P34/Q34)</f>
        <v/>
      </c>
      <c r="S34" s="30"/>
      <c r="T34" s="31" t="str">
        <f aca="false">IF(OR(AA34="",H34="",H34=0),"",AA34/H34-1)</f>
        <v/>
      </c>
      <c r="U34" s="31" t="str">
        <f aca="false">IF(OR(AB34="",I34="",I34=0),"",AB34/I34-1)</f>
        <v/>
      </c>
      <c r="V34" s="32" t="str">
        <f aca="false">IF(OR(J34="",IF(R34&lt;&gt;"",R34,N34)=""),"",(IF(R34&lt;&gt;"",R34,N34)-J34)*100)</f>
        <v/>
      </c>
      <c r="W34" s="33" t="str">
        <f aca="false">IF(OR(K34="",IF(S34&lt;&gt;"",S34,O34)=""),"",K34-IF(S34&lt;&gt;"",S34,O34))</f>
        <v/>
      </c>
      <c r="X34" s="34" t="str">
        <f aca="false">IF(F34="","",IF(E34="Redirected (301)",IF(AA34="","Pending","Redirected – see target"),IF(OR(AA34="",H34=""),"Pending",IF(H34=0,IF(AA34&gt;0,"Win","Neutral"),IF(AA34&gt;=H34*(1+'How to use'!$C$15),"Win",IF(AA34&lt;=H34*(1+'How to use'!$C$16),"Loss","Neutral"))))))</f>
        <v/>
      </c>
      <c r="Y34" s="35" t="str">
        <f aca="false">IF(OR(F34="",C34=""),"",IF(P34&lt;&gt;"","Done",IF(L34&lt;&gt;"",C34+'How to use'!$C$19+'How to use'!$C$17,C34+'How to use'!$C$18+'How to use'!$C$17)))</f>
        <v/>
      </c>
      <c r="Z34" s="9"/>
      <c r="AA34" s="36" t="str">
        <f aca="false">IF(P34&lt;&gt;"",P34,IF(L34&lt;&gt;"",L34,""))</f>
        <v/>
      </c>
      <c r="AB34" s="36" t="str">
        <f aca="false">IF(Q34&lt;&gt;"",Q34,IF(M34&lt;&gt;"",M34,""))</f>
        <v/>
      </c>
    </row>
    <row r="35" customFormat="false" ht="15" hidden="false" customHeight="false" outlineLevel="0" collapsed="false">
      <c r="A35" s="9"/>
      <c r="B35" s="9"/>
      <c r="C35" s="26"/>
      <c r="D35" s="9"/>
      <c r="E35" s="9"/>
      <c r="F35" s="9"/>
      <c r="G35" s="27"/>
      <c r="H35" s="28"/>
      <c r="I35" s="28"/>
      <c r="J35" s="29" t="str">
        <f aca="false">IF(OR(H35="",I35="",I35=0),"",H35/I35)</f>
        <v/>
      </c>
      <c r="K35" s="30"/>
      <c r="L35" s="28"/>
      <c r="M35" s="28"/>
      <c r="N35" s="29" t="str">
        <f aca="false">IF(OR(L35="",M35="",M35=0),"",L35/M35)</f>
        <v/>
      </c>
      <c r="O35" s="30"/>
      <c r="P35" s="28"/>
      <c r="Q35" s="28"/>
      <c r="R35" s="29" t="str">
        <f aca="false">IF(OR(P35="",Q35="",Q35=0),"",P35/Q35)</f>
        <v/>
      </c>
      <c r="S35" s="30"/>
      <c r="T35" s="31" t="str">
        <f aca="false">IF(OR(AA35="",H35="",H35=0),"",AA35/H35-1)</f>
        <v/>
      </c>
      <c r="U35" s="31" t="str">
        <f aca="false">IF(OR(AB35="",I35="",I35=0),"",AB35/I35-1)</f>
        <v/>
      </c>
      <c r="V35" s="32" t="str">
        <f aca="false">IF(OR(J35="",IF(R35&lt;&gt;"",R35,N35)=""),"",(IF(R35&lt;&gt;"",R35,N35)-J35)*100)</f>
        <v/>
      </c>
      <c r="W35" s="33" t="str">
        <f aca="false">IF(OR(K35="",IF(S35&lt;&gt;"",S35,O35)=""),"",K35-IF(S35&lt;&gt;"",S35,O35))</f>
        <v/>
      </c>
      <c r="X35" s="34" t="str">
        <f aca="false">IF(F35="","",IF(E35="Redirected (301)",IF(AA35="","Pending","Redirected – see target"),IF(OR(AA35="",H35=""),"Pending",IF(H35=0,IF(AA35&gt;0,"Win","Neutral"),IF(AA35&gt;=H35*(1+'How to use'!$C$15),"Win",IF(AA35&lt;=H35*(1+'How to use'!$C$16),"Loss","Neutral"))))))</f>
        <v/>
      </c>
      <c r="Y35" s="35" t="str">
        <f aca="false">IF(OR(F35="",C35=""),"",IF(P35&lt;&gt;"","Done",IF(L35&lt;&gt;"",C35+'How to use'!$C$19+'How to use'!$C$17,C35+'How to use'!$C$18+'How to use'!$C$17)))</f>
        <v/>
      </c>
      <c r="Z35" s="9"/>
      <c r="AA35" s="36" t="str">
        <f aca="false">IF(P35&lt;&gt;"",P35,IF(L35&lt;&gt;"",L35,""))</f>
        <v/>
      </c>
      <c r="AB35" s="36" t="str">
        <f aca="false">IF(Q35&lt;&gt;"",Q35,IF(M35&lt;&gt;"",M35,""))</f>
        <v/>
      </c>
    </row>
    <row r="36" customFormat="false" ht="15" hidden="false" customHeight="false" outlineLevel="0" collapsed="false">
      <c r="A36" s="9"/>
      <c r="B36" s="9"/>
      <c r="C36" s="26"/>
      <c r="D36" s="9"/>
      <c r="E36" s="9"/>
      <c r="F36" s="9"/>
      <c r="G36" s="27"/>
      <c r="H36" s="28"/>
      <c r="I36" s="28"/>
      <c r="J36" s="29" t="str">
        <f aca="false">IF(OR(H36="",I36="",I36=0),"",H36/I36)</f>
        <v/>
      </c>
      <c r="K36" s="30"/>
      <c r="L36" s="28"/>
      <c r="M36" s="28"/>
      <c r="N36" s="29" t="str">
        <f aca="false">IF(OR(L36="",M36="",M36=0),"",L36/M36)</f>
        <v/>
      </c>
      <c r="O36" s="30"/>
      <c r="P36" s="28"/>
      <c r="Q36" s="28"/>
      <c r="R36" s="29" t="str">
        <f aca="false">IF(OR(P36="",Q36="",Q36=0),"",P36/Q36)</f>
        <v/>
      </c>
      <c r="S36" s="30"/>
      <c r="T36" s="31" t="str">
        <f aca="false">IF(OR(AA36="",H36="",H36=0),"",AA36/H36-1)</f>
        <v/>
      </c>
      <c r="U36" s="31" t="str">
        <f aca="false">IF(OR(AB36="",I36="",I36=0),"",AB36/I36-1)</f>
        <v/>
      </c>
      <c r="V36" s="32" t="str">
        <f aca="false">IF(OR(J36="",IF(R36&lt;&gt;"",R36,N36)=""),"",(IF(R36&lt;&gt;"",R36,N36)-J36)*100)</f>
        <v/>
      </c>
      <c r="W36" s="33" t="str">
        <f aca="false">IF(OR(K36="",IF(S36&lt;&gt;"",S36,O36)=""),"",K36-IF(S36&lt;&gt;"",S36,O36))</f>
        <v/>
      </c>
      <c r="X36" s="34" t="str">
        <f aca="false">IF(F36="","",IF(E36="Redirected (301)",IF(AA36="","Pending","Redirected – see target"),IF(OR(AA36="",H36=""),"Pending",IF(H36=0,IF(AA36&gt;0,"Win","Neutral"),IF(AA36&gt;=H36*(1+'How to use'!$C$15),"Win",IF(AA36&lt;=H36*(1+'How to use'!$C$16),"Loss","Neutral"))))))</f>
        <v/>
      </c>
      <c r="Y36" s="35" t="str">
        <f aca="false">IF(OR(F36="",C36=""),"",IF(P36&lt;&gt;"","Done",IF(L36&lt;&gt;"",C36+'How to use'!$C$19+'How to use'!$C$17,C36+'How to use'!$C$18+'How to use'!$C$17)))</f>
        <v/>
      </c>
      <c r="Z36" s="9"/>
      <c r="AA36" s="36" t="str">
        <f aca="false">IF(P36&lt;&gt;"",P36,IF(L36&lt;&gt;"",L36,""))</f>
        <v/>
      </c>
      <c r="AB36" s="36" t="str">
        <f aca="false">IF(Q36&lt;&gt;"",Q36,IF(M36&lt;&gt;"",M36,""))</f>
        <v/>
      </c>
    </row>
    <row r="37" customFormat="false" ht="15" hidden="false" customHeight="false" outlineLevel="0" collapsed="false">
      <c r="A37" s="9"/>
      <c r="B37" s="9"/>
      <c r="C37" s="26"/>
      <c r="D37" s="9"/>
      <c r="E37" s="9"/>
      <c r="F37" s="9"/>
      <c r="G37" s="27"/>
      <c r="H37" s="28"/>
      <c r="I37" s="28"/>
      <c r="J37" s="29" t="str">
        <f aca="false">IF(OR(H37="",I37="",I37=0),"",H37/I37)</f>
        <v/>
      </c>
      <c r="K37" s="30"/>
      <c r="L37" s="28"/>
      <c r="M37" s="28"/>
      <c r="N37" s="29" t="str">
        <f aca="false">IF(OR(L37="",M37="",M37=0),"",L37/M37)</f>
        <v/>
      </c>
      <c r="O37" s="30"/>
      <c r="P37" s="28"/>
      <c r="Q37" s="28"/>
      <c r="R37" s="29" t="str">
        <f aca="false">IF(OR(P37="",Q37="",Q37=0),"",P37/Q37)</f>
        <v/>
      </c>
      <c r="S37" s="30"/>
      <c r="T37" s="31" t="str">
        <f aca="false">IF(OR(AA37="",H37="",H37=0),"",AA37/H37-1)</f>
        <v/>
      </c>
      <c r="U37" s="31" t="str">
        <f aca="false">IF(OR(AB37="",I37="",I37=0),"",AB37/I37-1)</f>
        <v/>
      </c>
      <c r="V37" s="32" t="str">
        <f aca="false">IF(OR(J37="",IF(R37&lt;&gt;"",R37,N37)=""),"",(IF(R37&lt;&gt;"",R37,N37)-J37)*100)</f>
        <v/>
      </c>
      <c r="W37" s="33" t="str">
        <f aca="false">IF(OR(K37="",IF(S37&lt;&gt;"",S37,O37)=""),"",K37-IF(S37&lt;&gt;"",S37,O37))</f>
        <v/>
      </c>
      <c r="X37" s="34" t="str">
        <f aca="false">IF(F37="","",IF(E37="Redirected (301)",IF(AA37="","Pending","Redirected – see target"),IF(OR(AA37="",H37=""),"Pending",IF(H37=0,IF(AA37&gt;0,"Win","Neutral"),IF(AA37&gt;=H37*(1+'How to use'!$C$15),"Win",IF(AA37&lt;=H37*(1+'How to use'!$C$16),"Loss","Neutral"))))))</f>
        <v/>
      </c>
      <c r="Y37" s="35" t="str">
        <f aca="false">IF(OR(F37="",C37=""),"",IF(P37&lt;&gt;"","Done",IF(L37&lt;&gt;"",C37+'How to use'!$C$19+'How to use'!$C$17,C37+'How to use'!$C$18+'How to use'!$C$17)))</f>
        <v/>
      </c>
      <c r="Z37" s="9"/>
      <c r="AA37" s="36" t="str">
        <f aca="false">IF(P37&lt;&gt;"",P37,IF(L37&lt;&gt;"",L37,""))</f>
        <v/>
      </c>
      <c r="AB37" s="36" t="str">
        <f aca="false">IF(Q37&lt;&gt;"",Q37,IF(M37&lt;&gt;"",M37,""))</f>
        <v/>
      </c>
    </row>
    <row r="38" customFormat="false" ht="15" hidden="false" customHeight="false" outlineLevel="0" collapsed="false">
      <c r="A38" s="9"/>
      <c r="B38" s="9"/>
      <c r="C38" s="26"/>
      <c r="D38" s="9"/>
      <c r="E38" s="9"/>
      <c r="F38" s="9"/>
      <c r="G38" s="27"/>
      <c r="H38" s="28"/>
      <c r="I38" s="28"/>
      <c r="J38" s="29" t="str">
        <f aca="false">IF(OR(H38="",I38="",I38=0),"",H38/I38)</f>
        <v/>
      </c>
      <c r="K38" s="30"/>
      <c r="L38" s="28"/>
      <c r="M38" s="28"/>
      <c r="N38" s="29" t="str">
        <f aca="false">IF(OR(L38="",M38="",M38=0),"",L38/M38)</f>
        <v/>
      </c>
      <c r="O38" s="30"/>
      <c r="P38" s="28"/>
      <c r="Q38" s="28"/>
      <c r="R38" s="29" t="str">
        <f aca="false">IF(OR(P38="",Q38="",Q38=0),"",P38/Q38)</f>
        <v/>
      </c>
      <c r="S38" s="30"/>
      <c r="T38" s="31" t="str">
        <f aca="false">IF(OR(AA38="",H38="",H38=0),"",AA38/H38-1)</f>
        <v/>
      </c>
      <c r="U38" s="31" t="str">
        <f aca="false">IF(OR(AB38="",I38="",I38=0),"",AB38/I38-1)</f>
        <v/>
      </c>
      <c r="V38" s="32" t="str">
        <f aca="false">IF(OR(J38="",IF(R38&lt;&gt;"",R38,N38)=""),"",(IF(R38&lt;&gt;"",R38,N38)-J38)*100)</f>
        <v/>
      </c>
      <c r="W38" s="33" t="str">
        <f aca="false">IF(OR(K38="",IF(S38&lt;&gt;"",S38,O38)=""),"",K38-IF(S38&lt;&gt;"",S38,O38))</f>
        <v/>
      </c>
      <c r="X38" s="34" t="str">
        <f aca="false">IF(F38="","",IF(E38="Redirected (301)",IF(AA38="","Pending","Redirected – see target"),IF(OR(AA38="",H38=""),"Pending",IF(H38=0,IF(AA38&gt;0,"Win","Neutral"),IF(AA38&gt;=H38*(1+'How to use'!$C$15),"Win",IF(AA38&lt;=H38*(1+'How to use'!$C$16),"Loss","Neutral"))))))</f>
        <v/>
      </c>
      <c r="Y38" s="35" t="str">
        <f aca="false">IF(OR(F38="",C38=""),"",IF(P38&lt;&gt;"","Done",IF(L38&lt;&gt;"",C38+'How to use'!$C$19+'How to use'!$C$17,C38+'How to use'!$C$18+'How to use'!$C$17)))</f>
        <v/>
      </c>
      <c r="Z38" s="9"/>
      <c r="AA38" s="36" t="str">
        <f aca="false">IF(P38&lt;&gt;"",P38,IF(L38&lt;&gt;"",L38,""))</f>
        <v/>
      </c>
      <c r="AB38" s="36" t="str">
        <f aca="false">IF(Q38&lt;&gt;"",Q38,IF(M38&lt;&gt;"",M38,""))</f>
        <v/>
      </c>
    </row>
    <row r="39" customFormat="false" ht="15" hidden="false" customHeight="false" outlineLevel="0" collapsed="false">
      <c r="A39" s="9"/>
      <c r="B39" s="9"/>
      <c r="C39" s="26"/>
      <c r="D39" s="9"/>
      <c r="E39" s="9"/>
      <c r="F39" s="9"/>
      <c r="G39" s="27"/>
      <c r="H39" s="28"/>
      <c r="I39" s="28"/>
      <c r="J39" s="29" t="str">
        <f aca="false">IF(OR(H39="",I39="",I39=0),"",H39/I39)</f>
        <v/>
      </c>
      <c r="K39" s="30"/>
      <c r="L39" s="28"/>
      <c r="M39" s="28"/>
      <c r="N39" s="29" t="str">
        <f aca="false">IF(OR(L39="",M39="",M39=0),"",L39/M39)</f>
        <v/>
      </c>
      <c r="O39" s="30"/>
      <c r="P39" s="28"/>
      <c r="Q39" s="28"/>
      <c r="R39" s="29" t="str">
        <f aca="false">IF(OR(P39="",Q39="",Q39=0),"",P39/Q39)</f>
        <v/>
      </c>
      <c r="S39" s="30"/>
      <c r="T39" s="31" t="str">
        <f aca="false">IF(OR(AA39="",H39="",H39=0),"",AA39/H39-1)</f>
        <v/>
      </c>
      <c r="U39" s="31" t="str">
        <f aca="false">IF(OR(AB39="",I39="",I39=0),"",AB39/I39-1)</f>
        <v/>
      </c>
      <c r="V39" s="32" t="str">
        <f aca="false">IF(OR(J39="",IF(R39&lt;&gt;"",R39,N39)=""),"",(IF(R39&lt;&gt;"",R39,N39)-J39)*100)</f>
        <v/>
      </c>
      <c r="W39" s="33" t="str">
        <f aca="false">IF(OR(K39="",IF(S39&lt;&gt;"",S39,O39)=""),"",K39-IF(S39&lt;&gt;"",S39,O39))</f>
        <v/>
      </c>
      <c r="X39" s="34" t="str">
        <f aca="false">IF(F39="","",IF(E39="Redirected (301)",IF(AA39="","Pending","Redirected – see target"),IF(OR(AA39="",H39=""),"Pending",IF(H39=0,IF(AA39&gt;0,"Win","Neutral"),IF(AA39&gt;=H39*(1+'How to use'!$C$15),"Win",IF(AA39&lt;=H39*(1+'How to use'!$C$16),"Loss","Neutral"))))))</f>
        <v/>
      </c>
      <c r="Y39" s="35" t="str">
        <f aca="false">IF(OR(F39="",C39=""),"",IF(P39&lt;&gt;"","Done",IF(L39&lt;&gt;"",C39+'How to use'!$C$19+'How to use'!$C$17,C39+'How to use'!$C$18+'How to use'!$C$17)))</f>
        <v/>
      </c>
      <c r="Z39" s="9"/>
      <c r="AA39" s="36" t="str">
        <f aca="false">IF(P39&lt;&gt;"",P39,IF(L39&lt;&gt;"",L39,""))</f>
        <v/>
      </c>
      <c r="AB39" s="36" t="str">
        <f aca="false">IF(Q39&lt;&gt;"",Q39,IF(M39&lt;&gt;"",M39,""))</f>
        <v/>
      </c>
    </row>
    <row r="40" customFormat="false" ht="15" hidden="false" customHeight="false" outlineLevel="0" collapsed="false">
      <c r="A40" s="9"/>
      <c r="B40" s="9"/>
      <c r="C40" s="26"/>
      <c r="D40" s="9"/>
      <c r="E40" s="9"/>
      <c r="F40" s="9"/>
      <c r="G40" s="27"/>
      <c r="H40" s="28"/>
      <c r="I40" s="28"/>
      <c r="J40" s="29" t="str">
        <f aca="false">IF(OR(H40="",I40="",I40=0),"",H40/I40)</f>
        <v/>
      </c>
      <c r="K40" s="30"/>
      <c r="L40" s="28"/>
      <c r="M40" s="28"/>
      <c r="N40" s="29" t="str">
        <f aca="false">IF(OR(L40="",M40="",M40=0),"",L40/M40)</f>
        <v/>
      </c>
      <c r="O40" s="30"/>
      <c r="P40" s="28"/>
      <c r="Q40" s="28"/>
      <c r="R40" s="29" t="str">
        <f aca="false">IF(OR(P40="",Q40="",Q40=0),"",P40/Q40)</f>
        <v/>
      </c>
      <c r="S40" s="30"/>
      <c r="T40" s="31" t="str">
        <f aca="false">IF(OR(AA40="",H40="",H40=0),"",AA40/H40-1)</f>
        <v/>
      </c>
      <c r="U40" s="31" t="str">
        <f aca="false">IF(OR(AB40="",I40="",I40=0),"",AB40/I40-1)</f>
        <v/>
      </c>
      <c r="V40" s="32" t="str">
        <f aca="false">IF(OR(J40="",IF(R40&lt;&gt;"",R40,N40)=""),"",(IF(R40&lt;&gt;"",R40,N40)-J40)*100)</f>
        <v/>
      </c>
      <c r="W40" s="33" t="str">
        <f aca="false">IF(OR(K40="",IF(S40&lt;&gt;"",S40,O40)=""),"",K40-IF(S40&lt;&gt;"",S40,O40))</f>
        <v/>
      </c>
      <c r="X40" s="34" t="str">
        <f aca="false">IF(F40="","",IF(E40="Redirected (301)",IF(AA40="","Pending","Redirected – see target"),IF(OR(AA40="",H40=""),"Pending",IF(H40=0,IF(AA40&gt;0,"Win","Neutral"),IF(AA40&gt;=H40*(1+'How to use'!$C$15),"Win",IF(AA40&lt;=H40*(1+'How to use'!$C$16),"Loss","Neutral"))))))</f>
        <v/>
      </c>
      <c r="Y40" s="35" t="str">
        <f aca="false">IF(OR(F40="",C40=""),"",IF(P40&lt;&gt;"","Done",IF(L40&lt;&gt;"",C40+'How to use'!$C$19+'How to use'!$C$17,C40+'How to use'!$C$18+'How to use'!$C$17)))</f>
        <v/>
      </c>
      <c r="Z40" s="9"/>
      <c r="AA40" s="36" t="str">
        <f aca="false">IF(P40&lt;&gt;"",P40,IF(L40&lt;&gt;"",L40,""))</f>
        <v/>
      </c>
      <c r="AB40" s="36" t="str">
        <f aca="false">IF(Q40&lt;&gt;"",Q40,IF(M40&lt;&gt;"",M40,""))</f>
        <v/>
      </c>
    </row>
    <row r="41" customFormat="false" ht="15" hidden="false" customHeight="false" outlineLevel="0" collapsed="false">
      <c r="A41" s="9"/>
      <c r="B41" s="9"/>
      <c r="C41" s="26"/>
      <c r="D41" s="9"/>
      <c r="E41" s="9"/>
      <c r="F41" s="9"/>
      <c r="G41" s="27"/>
      <c r="H41" s="28"/>
      <c r="I41" s="28"/>
      <c r="J41" s="29" t="str">
        <f aca="false">IF(OR(H41="",I41="",I41=0),"",H41/I41)</f>
        <v/>
      </c>
      <c r="K41" s="30"/>
      <c r="L41" s="28"/>
      <c r="M41" s="28"/>
      <c r="N41" s="29" t="str">
        <f aca="false">IF(OR(L41="",M41="",M41=0),"",L41/M41)</f>
        <v/>
      </c>
      <c r="O41" s="30"/>
      <c r="P41" s="28"/>
      <c r="Q41" s="28"/>
      <c r="R41" s="29" t="str">
        <f aca="false">IF(OR(P41="",Q41="",Q41=0),"",P41/Q41)</f>
        <v/>
      </c>
      <c r="S41" s="30"/>
      <c r="T41" s="31" t="str">
        <f aca="false">IF(OR(AA41="",H41="",H41=0),"",AA41/H41-1)</f>
        <v/>
      </c>
      <c r="U41" s="31" t="str">
        <f aca="false">IF(OR(AB41="",I41="",I41=0),"",AB41/I41-1)</f>
        <v/>
      </c>
      <c r="V41" s="32" t="str">
        <f aca="false">IF(OR(J41="",IF(R41&lt;&gt;"",R41,N41)=""),"",(IF(R41&lt;&gt;"",R41,N41)-J41)*100)</f>
        <v/>
      </c>
      <c r="W41" s="33" t="str">
        <f aca="false">IF(OR(K41="",IF(S41&lt;&gt;"",S41,O41)=""),"",K41-IF(S41&lt;&gt;"",S41,O41))</f>
        <v/>
      </c>
      <c r="X41" s="34" t="str">
        <f aca="false">IF(F41="","",IF(E41="Redirected (301)",IF(AA41="","Pending","Redirected – see target"),IF(OR(AA41="",H41=""),"Pending",IF(H41=0,IF(AA41&gt;0,"Win","Neutral"),IF(AA41&gt;=H41*(1+'How to use'!$C$15),"Win",IF(AA41&lt;=H41*(1+'How to use'!$C$16),"Loss","Neutral"))))))</f>
        <v/>
      </c>
      <c r="Y41" s="35" t="str">
        <f aca="false">IF(OR(F41="",C41=""),"",IF(P41&lt;&gt;"","Done",IF(L41&lt;&gt;"",C41+'How to use'!$C$19+'How to use'!$C$17,C41+'How to use'!$C$18+'How to use'!$C$17)))</f>
        <v/>
      </c>
      <c r="Z41" s="9"/>
      <c r="AA41" s="36" t="str">
        <f aca="false">IF(P41&lt;&gt;"",P41,IF(L41&lt;&gt;"",L41,""))</f>
        <v/>
      </c>
      <c r="AB41" s="36" t="str">
        <f aca="false">IF(Q41&lt;&gt;"",Q41,IF(M41&lt;&gt;"",M41,""))</f>
        <v/>
      </c>
    </row>
    <row r="42" customFormat="false" ht="15" hidden="false" customHeight="false" outlineLevel="0" collapsed="false">
      <c r="A42" s="9"/>
      <c r="B42" s="9"/>
      <c r="C42" s="26"/>
      <c r="D42" s="9"/>
      <c r="E42" s="9"/>
      <c r="F42" s="9"/>
      <c r="G42" s="27"/>
      <c r="H42" s="28"/>
      <c r="I42" s="28"/>
      <c r="J42" s="29" t="str">
        <f aca="false">IF(OR(H42="",I42="",I42=0),"",H42/I42)</f>
        <v/>
      </c>
      <c r="K42" s="30"/>
      <c r="L42" s="28"/>
      <c r="M42" s="28"/>
      <c r="N42" s="29" t="str">
        <f aca="false">IF(OR(L42="",M42="",M42=0),"",L42/M42)</f>
        <v/>
      </c>
      <c r="O42" s="30"/>
      <c r="P42" s="28"/>
      <c r="Q42" s="28"/>
      <c r="R42" s="29" t="str">
        <f aca="false">IF(OR(P42="",Q42="",Q42=0),"",P42/Q42)</f>
        <v/>
      </c>
      <c r="S42" s="30"/>
      <c r="T42" s="31" t="str">
        <f aca="false">IF(OR(AA42="",H42="",H42=0),"",AA42/H42-1)</f>
        <v/>
      </c>
      <c r="U42" s="31" t="str">
        <f aca="false">IF(OR(AB42="",I42="",I42=0),"",AB42/I42-1)</f>
        <v/>
      </c>
      <c r="V42" s="32" t="str">
        <f aca="false">IF(OR(J42="",IF(R42&lt;&gt;"",R42,N42)=""),"",(IF(R42&lt;&gt;"",R42,N42)-J42)*100)</f>
        <v/>
      </c>
      <c r="W42" s="33" t="str">
        <f aca="false">IF(OR(K42="",IF(S42&lt;&gt;"",S42,O42)=""),"",K42-IF(S42&lt;&gt;"",S42,O42))</f>
        <v/>
      </c>
      <c r="X42" s="34" t="str">
        <f aca="false">IF(F42="","",IF(E42="Redirected (301)",IF(AA42="","Pending","Redirected – see target"),IF(OR(AA42="",H42=""),"Pending",IF(H42=0,IF(AA42&gt;0,"Win","Neutral"),IF(AA42&gt;=H42*(1+'How to use'!$C$15),"Win",IF(AA42&lt;=H42*(1+'How to use'!$C$16),"Loss","Neutral"))))))</f>
        <v/>
      </c>
      <c r="Y42" s="35" t="str">
        <f aca="false">IF(OR(F42="",C42=""),"",IF(P42&lt;&gt;"","Done",IF(L42&lt;&gt;"",C42+'How to use'!$C$19+'How to use'!$C$17,C42+'How to use'!$C$18+'How to use'!$C$17)))</f>
        <v/>
      </c>
      <c r="Z42" s="9"/>
      <c r="AA42" s="36" t="str">
        <f aca="false">IF(P42&lt;&gt;"",P42,IF(L42&lt;&gt;"",L42,""))</f>
        <v/>
      </c>
      <c r="AB42" s="36" t="str">
        <f aca="false">IF(Q42&lt;&gt;"",Q42,IF(M42&lt;&gt;"",M42,""))</f>
        <v/>
      </c>
    </row>
    <row r="43" customFormat="false" ht="15" hidden="false" customHeight="false" outlineLevel="0" collapsed="false">
      <c r="A43" s="9"/>
      <c r="B43" s="9"/>
      <c r="C43" s="26"/>
      <c r="D43" s="9"/>
      <c r="E43" s="9"/>
      <c r="F43" s="9"/>
      <c r="G43" s="27"/>
      <c r="H43" s="28"/>
      <c r="I43" s="28"/>
      <c r="J43" s="29" t="str">
        <f aca="false">IF(OR(H43="",I43="",I43=0),"",H43/I43)</f>
        <v/>
      </c>
      <c r="K43" s="30"/>
      <c r="L43" s="28"/>
      <c r="M43" s="28"/>
      <c r="N43" s="29" t="str">
        <f aca="false">IF(OR(L43="",M43="",M43=0),"",L43/M43)</f>
        <v/>
      </c>
      <c r="O43" s="30"/>
      <c r="P43" s="28"/>
      <c r="Q43" s="28"/>
      <c r="R43" s="29" t="str">
        <f aca="false">IF(OR(P43="",Q43="",Q43=0),"",P43/Q43)</f>
        <v/>
      </c>
      <c r="S43" s="30"/>
      <c r="T43" s="31" t="str">
        <f aca="false">IF(OR(AA43="",H43="",H43=0),"",AA43/H43-1)</f>
        <v/>
      </c>
      <c r="U43" s="31" t="str">
        <f aca="false">IF(OR(AB43="",I43="",I43=0),"",AB43/I43-1)</f>
        <v/>
      </c>
      <c r="V43" s="32" t="str">
        <f aca="false">IF(OR(J43="",IF(R43&lt;&gt;"",R43,N43)=""),"",(IF(R43&lt;&gt;"",R43,N43)-J43)*100)</f>
        <v/>
      </c>
      <c r="W43" s="33" t="str">
        <f aca="false">IF(OR(K43="",IF(S43&lt;&gt;"",S43,O43)=""),"",K43-IF(S43&lt;&gt;"",S43,O43))</f>
        <v/>
      </c>
      <c r="X43" s="34" t="str">
        <f aca="false">IF(F43="","",IF(E43="Redirected (301)",IF(AA43="","Pending","Redirected – see target"),IF(OR(AA43="",H43=""),"Pending",IF(H43=0,IF(AA43&gt;0,"Win","Neutral"),IF(AA43&gt;=H43*(1+'How to use'!$C$15),"Win",IF(AA43&lt;=H43*(1+'How to use'!$C$16),"Loss","Neutral"))))))</f>
        <v/>
      </c>
      <c r="Y43" s="35" t="str">
        <f aca="false">IF(OR(F43="",C43=""),"",IF(P43&lt;&gt;"","Done",IF(L43&lt;&gt;"",C43+'How to use'!$C$19+'How to use'!$C$17,C43+'How to use'!$C$18+'How to use'!$C$17)))</f>
        <v/>
      </c>
      <c r="Z43" s="9"/>
      <c r="AA43" s="36" t="str">
        <f aca="false">IF(P43&lt;&gt;"",P43,IF(L43&lt;&gt;"",L43,""))</f>
        <v/>
      </c>
      <c r="AB43" s="36" t="str">
        <f aca="false">IF(Q43&lt;&gt;"",Q43,IF(M43&lt;&gt;"",M43,""))</f>
        <v/>
      </c>
    </row>
    <row r="44" customFormat="false" ht="15" hidden="false" customHeight="false" outlineLevel="0" collapsed="false">
      <c r="A44" s="9"/>
      <c r="B44" s="9"/>
      <c r="C44" s="26"/>
      <c r="D44" s="9"/>
      <c r="E44" s="9"/>
      <c r="F44" s="9"/>
      <c r="G44" s="27"/>
      <c r="H44" s="28"/>
      <c r="I44" s="28"/>
      <c r="J44" s="29" t="str">
        <f aca="false">IF(OR(H44="",I44="",I44=0),"",H44/I44)</f>
        <v/>
      </c>
      <c r="K44" s="30"/>
      <c r="L44" s="28"/>
      <c r="M44" s="28"/>
      <c r="N44" s="29" t="str">
        <f aca="false">IF(OR(L44="",M44="",M44=0),"",L44/M44)</f>
        <v/>
      </c>
      <c r="O44" s="30"/>
      <c r="P44" s="28"/>
      <c r="Q44" s="28"/>
      <c r="R44" s="29" t="str">
        <f aca="false">IF(OR(P44="",Q44="",Q44=0),"",P44/Q44)</f>
        <v/>
      </c>
      <c r="S44" s="30"/>
      <c r="T44" s="31" t="str">
        <f aca="false">IF(OR(AA44="",H44="",H44=0),"",AA44/H44-1)</f>
        <v/>
      </c>
      <c r="U44" s="31" t="str">
        <f aca="false">IF(OR(AB44="",I44="",I44=0),"",AB44/I44-1)</f>
        <v/>
      </c>
      <c r="V44" s="32" t="str">
        <f aca="false">IF(OR(J44="",IF(R44&lt;&gt;"",R44,N44)=""),"",(IF(R44&lt;&gt;"",R44,N44)-J44)*100)</f>
        <v/>
      </c>
      <c r="W44" s="33" t="str">
        <f aca="false">IF(OR(K44="",IF(S44&lt;&gt;"",S44,O44)=""),"",K44-IF(S44&lt;&gt;"",S44,O44))</f>
        <v/>
      </c>
      <c r="X44" s="34" t="str">
        <f aca="false">IF(F44="","",IF(E44="Redirected (301)",IF(AA44="","Pending","Redirected – see target"),IF(OR(AA44="",H44=""),"Pending",IF(H44=0,IF(AA44&gt;0,"Win","Neutral"),IF(AA44&gt;=H44*(1+'How to use'!$C$15),"Win",IF(AA44&lt;=H44*(1+'How to use'!$C$16),"Loss","Neutral"))))))</f>
        <v/>
      </c>
      <c r="Y44" s="35" t="str">
        <f aca="false">IF(OR(F44="",C44=""),"",IF(P44&lt;&gt;"","Done",IF(L44&lt;&gt;"",C44+'How to use'!$C$19+'How to use'!$C$17,C44+'How to use'!$C$18+'How to use'!$C$17)))</f>
        <v/>
      </c>
      <c r="Z44" s="9"/>
      <c r="AA44" s="36" t="str">
        <f aca="false">IF(P44&lt;&gt;"",P44,IF(L44&lt;&gt;"",L44,""))</f>
        <v/>
      </c>
      <c r="AB44" s="36" t="str">
        <f aca="false">IF(Q44&lt;&gt;"",Q44,IF(M44&lt;&gt;"",M44,""))</f>
        <v/>
      </c>
    </row>
    <row r="45" customFormat="false" ht="15" hidden="false" customHeight="false" outlineLevel="0" collapsed="false">
      <c r="A45" s="9"/>
      <c r="B45" s="9"/>
      <c r="C45" s="26"/>
      <c r="D45" s="9"/>
      <c r="E45" s="9"/>
      <c r="F45" s="9"/>
      <c r="G45" s="27"/>
      <c r="H45" s="28"/>
      <c r="I45" s="28"/>
      <c r="J45" s="29" t="str">
        <f aca="false">IF(OR(H45="",I45="",I45=0),"",H45/I45)</f>
        <v/>
      </c>
      <c r="K45" s="30"/>
      <c r="L45" s="28"/>
      <c r="M45" s="28"/>
      <c r="N45" s="29" t="str">
        <f aca="false">IF(OR(L45="",M45="",M45=0),"",L45/M45)</f>
        <v/>
      </c>
      <c r="O45" s="30"/>
      <c r="P45" s="28"/>
      <c r="Q45" s="28"/>
      <c r="R45" s="29" t="str">
        <f aca="false">IF(OR(P45="",Q45="",Q45=0),"",P45/Q45)</f>
        <v/>
      </c>
      <c r="S45" s="30"/>
      <c r="T45" s="31" t="str">
        <f aca="false">IF(OR(AA45="",H45="",H45=0),"",AA45/H45-1)</f>
        <v/>
      </c>
      <c r="U45" s="31" t="str">
        <f aca="false">IF(OR(AB45="",I45="",I45=0),"",AB45/I45-1)</f>
        <v/>
      </c>
      <c r="V45" s="32" t="str">
        <f aca="false">IF(OR(J45="",IF(R45&lt;&gt;"",R45,N45)=""),"",(IF(R45&lt;&gt;"",R45,N45)-J45)*100)</f>
        <v/>
      </c>
      <c r="W45" s="33" t="str">
        <f aca="false">IF(OR(K45="",IF(S45&lt;&gt;"",S45,O45)=""),"",K45-IF(S45&lt;&gt;"",S45,O45))</f>
        <v/>
      </c>
      <c r="X45" s="34" t="str">
        <f aca="false">IF(F45="","",IF(E45="Redirected (301)",IF(AA45="","Pending","Redirected – see target"),IF(OR(AA45="",H45=""),"Pending",IF(H45=0,IF(AA45&gt;0,"Win","Neutral"),IF(AA45&gt;=H45*(1+'How to use'!$C$15),"Win",IF(AA45&lt;=H45*(1+'How to use'!$C$16),"Loss","Neutral"))))))</f>
        <v/>
      </c>
      <c r="Y45" s="35" t="str">
        <f aca="false">IF(OR(F45="",C45=""),"",IF(P45&lt;&gt;"","Done",IF(L45&lt;&gt;"",C45+'How to use'!$C$19+'How to use'!$C$17,C45+'How to use'!$C$18+'How to use'!$C$17)))</f>
        <v/>
      </c>
      <c r="Z45" s="9"/>
      <c r="AA45" s="36" t="str">
        <f aca="false">IF(P45&lt;&gt;"",P45,IF(L45&lt;&gt;"",L45,""))</f>
        <v/>
      </c>
      <c r="AB45" s="36" t="str">
        <f aca="false">IF(Q45&lt;&gt;"",Q45,IF(M45&lt;&gt;"",M45,""))</f>
        <v/>
      </c>
    </row>
    <row r="46" customFormat="false" ht="15" hidden="false" customHeight="false" outlineLevel="0" collapsed="false">
      <c r="A46" s="9"/>
      <c r="B46" s="9"/>
      <c r="C46" s="26"/>
      <c r="D46" s="9"/>
      <c r="E46" s="9"/>
      <c r="F46" s="9"/>
      <c r="G46" s="27"/>
      <c r="H46" s="28"/>
      <c r="I46" s="28"/>
      <c r="J46" s="29" t="str">
        <f aca="false">IF(OR(H46="",I46="",I46=0),"",H46/I46)</f>
        <v/>
      </c>
      <c r="K46" s="30"/>
      <c r="L46" s="28"/>
      <c r="M46" s="28"/>
      <c r="N46" s="29" t="str">
        <f aca="false">IF(OR(L46="",M46="",M46=0),"",L46/M46)</f>
        <v/>
      </c>
      <c r="O46" s="30"/>
      <c r="P46" s="28"/>
      <c r="Q46" s="28"/>
      <c r="R46" s="29" t="str">
        <f aca="false">IF(OR(P46="",Q46="",Q46=0),"",P46/Q46)</f>
        <v/>
      </c>
      <c r="S46" s="30"/>
      <c r="T46" s="31" t="str">
        <f aca="false">IF(OR(AA46="",H46="",H46=0),"",AA46/H46-1)</f>
        <v/>
      </c>
      <c r="U46" s="31" t="str">
        <f aca="false">IF(OR(AB46="",I46="",I46=0),"",AB46/I46-1)</f>
        <v/>
      </c>
      <c r="V46" s="32" t="str">
        <f aca="false">IF(OR(J46="",IF(R46&lt;&gt;"",R46,N46)=""),"",(IF(R46&lt;&gt;"",R46,N46)-J46)*100)</f>
        <v/>
      </c>
      <c r="W46" s="33" t="str">
        <f aca="false">IF(OR(K46="",IF(S46&lt;&gt;"",S46,O46)=""),"",K46-IF(S46&lt;&gt;"",S46,O46))</f>
        <v/>
      </c>
      <c r="X46" s="34" t="str">
        <f aca="false">IF(F46="","",IF(E46="Redirected (301)",IF(AA46="","Pending","Redirected – see target"),IF(OR(AA46="",H46=""),"Pending",IF(H46=0,IF(AA46&gt;0,"Win","Neutral"),IF(AA46&gt;=H46*(1+'How to use'!$C$15),"Win",IF(AA46&lt;=H46*(1+'How to use'!$C$16),"Loss","Neutral"))))))</f>
        <v/>
      </c>
      <c r="Y46" s="35" t="str">
        <f aca="false">IF(OR(F46="",C46=""),"",IF(P46&lt;&gt;"","Done",IF(L46&lt;&gt;"",C46+'How to use'!$C$19+'How to use'!$C$17,C46+'How to use'!$C$18+'How to use'!$C$17)))</f>
        <v/>
      </c>
      <c r="Z46" s="9"/>
      <c r="AA46" s="36" t="str">
        <f aca="false">IF(P46&lt;&gt;"",P46,IF(L46&lt;&gt;"",L46,""))</f>
        <v/>
      </c>
      <c r="AB46" s="36" t="str">
        <f aca="false">IF(Q46&lt;&gt;"",Q46,IF(M46&lt;&gt;"",M46,""))</f>
        <v/>
      </c>
    </row>
    <row r="47" customFormat="false" ht="15" hidden="false" customHeight="false" outlineLevel="0" collapsed="false">
      <c r="A47" s="9"/>
      <c r="B47" s="9"/>
      <c r="C47" s="26"/>
      <c r="D47" s="9"/>
      <c r="E47" s="9"/>
      <c r="F47" s="9"/>
      <c r="G47" s="27"/>
      <c r="H47" s="28"/>
      <c r="I47" s="28"/>
      <c r="J47" s="29" t="str">
        <f aca="false">IF(OR(H47="",I47="",I47=0),"",H47/I47)</f>
        <v/>
      </c>
      <c r="K47" s="30"/>
      <c r="L47" s="28"/>
      <c r="M47" s="28"/>
      <c r="N47" s="29" t="str">
        <f aca="false">IF(OR(L47="",M47="",M47=0),"",L47/M47)</f>
        <v/>
      </c>
      <c r="O47" s="30"/>
      <c r="P47" s="28"/>
      <c r="Q47" s="28"/>
      <c r="R47" s="29" t="str">
        <f aca="false">IF(OR(P47="",Q47="",Q47=0),"",P47/Q47)</f>
        <v/>
      </c>
      <c r="S47" s="30"/>
      <c r="T47" s="31" t="str">
        <f aca="false">IF(OR(AA47="",H47="",H47=0),"",AA47/H47-1)</f>
        <v/>
      </c>
      <c r="U47" s="31" t="str">
        <f aca="false">IF(OR(AB47="",I47="",I47=0),"",AB47/I47-1)</f>
        <v/>
      </c>
      <c r="V47" s="32" t="str">
        <f aca="false">IF(OR(J47="",IF(R47&lt;&gt;"",R47,N47)=""),"",(IF(R47&lt;&gt;"",R47,N47)-J47)*100)</f>
        <v/>
      </c>
      <c r="W47" s="33" t="str">
        <f aca="false">IF(OR(K47="",IF(S47&lt;&gt;"",S47,O47)=""),"",K47-IF(S47&lt;&gt;"",S47,O47))</f>
        <v/>
      </c>
      <c r="X47" s="34" t="str">
        <f aca="false">IF(F47="","",IF(E47="Redirected (301)",IF(AA47="","Pending","Redirected – see target"),IF(OR(AA47="",H47=""),"Pending",IF(H47=0,IF(AA47&gt;0,"Win","Neutral"),IF(AA47&gt;=H47*(1+'How to use'!$C$15),"Win",IF(AA47&lt;=H47*(1+'How to use'!$C$16),"Loss","Neutral"))))))</f>
        <v/>
      </c>
      <c r="Y47" s="35" t="str">
        <f aca="false">IF(OR(F47="",C47=""),"",IF(P47&lt;&gt;"","Done",IF(L47&lt;&gt;"",C47+'How to use'!$C$19+'How to use'!$C$17,C47+'How to use'!$C$18+'How to use'!$C$17)))</f>
        <v/>
      </c>
      <c r="Z47" s="9"/>
      <c r="AA47" s="36" t="str">
        <f aca="false">IF(P47&lt;&gt;"",P47,IF(L47&lt;&gt;"",L47,""))</f>
        <v/>
      </c>
      <c r="AB47" s="36" t="str">
        <f aca="false">IF(Q47&lt;&gt;"",Q47,IF(M47&lt;&gt;"",M47,""))</f>
        <v/>
      </c>
    </row>
    <row r="48" customFormat="false" ht="15" hidden="false" customHeight="false" outlineLevel="0" collapsed="false">
      <c r="A48" s="9"/>
      <c r="B48" s="9"/>
      <c r="C48" s="26"/>
      <c r="D48" s="9"/>
      <c r="E48" s="9"/>
      <c r="F48" s="9"/>
      <c r="G48" s="27"/>
      <c r="H48" s="28"/>
      <c r="I48" s="28"/>
      <c r="J48" s="29" t="str">
        <f aca="false">IF(OR(H48="",I48="",I48=0),"",H48/I48)</f>
        <v/>
      </c>
      <c r="K48" s="30"/>
      <c r="L48" s="28"/>
      <c r="M48" s="28"/>
      <c r="N48" s="29" t="str">
        <f aca="false">IF(OR(L48="",M48="",M48=0),"",L48/M48)</f>
        <v/>
      </c>
      <c r="O48" s="30"/>
      <c r="P48" s="28"/>
      <c r="Q48" s="28"/>
      <c r="R48" s="29" t="str">
        <f aca="false">IF(OR(P48="",Q48="",Q48=0),"",P48/Q48)</f>
        <v/>
      </c>
      <c r="S48" s="30"/>
      <c r="T48" s="31" t="str">
        <f aca="false">IF(OR(AA48="",H48="",H48=0),"",AA48/H48-1)</f>
        <v/>
      </c>
      <c r="U48" s="31" t="str">
        <f aca="false">IF(OR(AB48="",I48="",I48=0),"",AB48/I48-1)</f>
        <v/>
      </c>
      <c r="V48" s="32" t="str">
        <f aca="false">IF(OR(J48="",IF(R48&lt;&gt;"",R48,N48)=""),"",(IF(R48&lt;&gt;"",R48,N48)-J48)*100)</f>
        <v/>
      </c>
      <c r="W48" s="33" t="str">
        <f aca="false">IF(OR(K48="",IF(S48&lt;&gt;"",S48,O48)=""),"",K48-IF(S48&lt;&gt;"",S48,O48))</f>
        <v/>
      </c>
      <c r="X48" s="34" t="str">
        <f aca="false">IF(F48="","",IF(E48="Redirected (301)",IF(AA48="","Pending","Redirected – see target"),IF(OR(AA48="",H48=""),"Pending",IF(H48=0,IF(AA48&gt;0,"Win","Neutral"),IF(AA48&gt;=H48*(1+'How to use'!$C$15),"Win",IF(AA48&lt;=H48*(1+'How to use'!$C$16),"Loss","Neutral"))))))</f>
        <v/>
      </c>
      <c r="Y48" s="35" t="str">
        <f aca="false">IF(OR(F48="",C48=""),"",IF(P48&lt;&gt;"","Done",IF(L48&lt;&gt;"",C48+'How to use'!$C$19+'How to use'!$C$17,C48+'How to use'!$C$18+'How to use'!$C$17)))</f>
        <v/>
      </c>
      <c r="Z48" s="9"/>
      <c r="AA48" s="36" t="str">
        <f aca="false">IF(P48&lt;&gt;"",P48,IF(L48&lt;&gt;"",L48,""))</f>
        <v/>
      </c>
      <c r="AB48" s="36" t="str">
        <f aca="false">IF(Q48&lt;&gt;"",Q48,IF(M48&lt;&gt;"",M48,""))</f>
        <v/>
      </c>
    </row>
    <row r="49" customFormat="false" ht="15" hidden="false" customHeight="false" outlineLevel="0" collapsed="false">
      <c r="A49" s="9"/>
      <c r="B49" s="9"/>
      <c r="C49" s="26"/>
      <c r="D49" s="9"/>
      <c r="E49" s="9"/>
      <c r="F49" s="9"/>
      <c r="G49" s="27"/>
      <c r="H49" s="28"/>
      <c r="I49" s="28"/>
      <c r="J49" s="29" t="str">
        <f aca="false">IF(OR(H49="",I49="",I49=0),"",H49/I49)</f>
        <v/>
      </c>
      <c r="K49" s="30"/>
      <c r="L49" s="28"/>
      <c r="M49" s="28"/>
      <c r="N49" s="29" t="str">
        <f aca="false">IF(OR(L49="",M49="",M49=0),"",L49/M49)</f>
        <v/>
      </c>
      <c r="O49" s="30"/>
      <c r="P49" s="28"/>
      <c r="Q49" s="28"/>
      <c r="R49" s="29" t="str">
        <f aca="false">IF(OR(P49="",Q49="",Q49=0),"",P49/Q49)</f>
        <v/>
      </c>
      <c r="S49" s="30"/>
      <c r="T49" s="31" t="str">
        <f aca="false">IF(OR(AA49="",H49="",H49=0),"",AA49/H49-1)</f>
        <v/>
      </c>
      <c r="U49" s="31" t="str">
        <f aca="false">IF(OR(AB49="",I49="",I49=0),"",AB49/I49-1)</f>
        <v/>
      </c>
      <c r="V49" s="32" t="str">
        <f aca="false">IF(OR(J49="",IF(R49&lt;&gt;"",R49,N49)=""),"",(IF(R49&lt;&gt;"",R49,N49)-J49)*100)</f>
        <v/>
      </c>
      <c r="W49" s="33" t="str">
        <f aca="false">IF(OR(K49="",IF(S49&lt;&gt;"",S49,O49)=""),"",K49-IF(S49&lt;&gt;"",S49,O49))</f>
        <v/>
      </c>
      <c r="X49" s="34" t="str">
        <f aca="false">IF(F49="","",IF(E49="Redirected (301)",IF(AA49="","Pending","Redirected – see target"),IF(OR(AA49="",H49=""),"Pending",IF(H49=0,IF(AA49&gt;0,"Win","Neutral"),IF(AA49&gt;=H49*(1+'How to use'!$C$15),"Win",IF(AA49&lt;=H49*(1+'How to use'!$C$16),"Loss","Neutral"))))))</f>
        <v/>
      </c>
      <c r="Y49" s="35" t="str">
        <f aca="false">IF(OR(F49="",C49=""),"",IF(P49&lt;&gt;"","Done",IF(L49&lt;&gt;"",C49+'How to use'!$C$19+'How to use'!$C$17,C49+'How to use'!$C$18+'How to use'!$C$17)))</f>
        <v/>
      </c>
      <c r="Z49" s="9"/>
      <c r="AA49" s="36" t="str">
        <f aca="false">IF(P49&lt;&gt;"",P49,IF(L49&lt;&gt;"",L49,""))</f>
        <v/>
      </c>
      <c r="AB49" s="36" t="str">
        <f aca="false">IF(Q49&lt;&gt;"",Q49,IF(M49&lt;&gt;"",M49,""))</f>
        <v/>
      </c>
    </row>
    <row r="50" customFormat="false" ht="15" hidden="false" customHeight="false" outlineLevel="0" collapsed="false">
      <c r="A50" s="9"/>
      <c r="B50" s="9"/>
      <c r="C50" s="26"/>
      <c r="D50" s="9"/>
      <c r="E50" s="9"/>
      <c r="F50" s="9"/>
      <c r="G50" s="27"/>
      <c r="H50" s="28"/>
      <c r="I50" s="28"/>
      <c r="J50" s="29" t="str">
        <f aca="false">IF(OR(H50="",I50="",I50=0),"",H50/I50)</f>
        <v/>
      </c>
      <c r="K50" s="30"/>
      <c r="L50" s="28"/>
      <c r="M50" s="28"/>
      <c r="N50" s="29" t="str">
        <f aca="false">IF(OR(L50="",M50="",M50=0),"",L50/M50)</f>
        <v/>
      </c>
      <c r="O50" s="30"/>
      <c r="P50" s="28"/>
      <c r="Q50" s="28"/>
      <c r="R50" s="29" t="str">
        <f aca="false">IF(OR(P50="",Q50="",Q50=0),"",P50/Q50)</f>
        <v/>
      </c>
      <c r="S50" s="30"/>
      <c r="T50" s="31" t="str">
        <f aca="false">IF(OR(AA50="",H50="",H50=0),"",AA50/H50-1)</f>
        <v/>
      </c>
      <c r="U50" s="31" t="str">
        <f aca="false">IF(OR(AB50="",I50="",I50=0),"",AB50/I50-1)</f>
        <v/>
      </c>
      <c r="V50" s="32" t="str">
        <f aca="false">IF(OR(J50="",IF(R50&lt;&gt;"",R50,N50)=""),"",(IF(R50&lt;&gt;"",R50,N50)-J50)*100)</f>
        <v/>
      </c>
      <c r="W50" s="33" t="str">
        <f aca="false">IF(OR(K50="",IF(S50&lt;&gt;"",S50,O50)=""),"",K50-IF(S50&lt;&gt;"",S50,O50))</f>
        <v/>
      </c>
      <c r="X50" s="34" t="str">
        <f aca="false">IF(F50="","",IF(E50="Redirected (301)",IF(AA50="","Pending","Redirected – see target"),IF(OR(AA50="",H50=""),"Pending",IF(H50=0,IF(AA50&gt;0,"Win","Neutral"),IF(AA50&gt;=H50*(1+'How to use'!$C$15),"Win",IF(AA50&lt;=H50*(1+'How to use'!$C$16),"Loss","Neutral"))))))</f>
        <v/>
      </c>
      <c r="Y50" s="35" t="str">
        <f aca="false">IF(OR(F50="",C50=""),"",IF(P50&lt;&gt;"","Done",IF(L50&lt;&gt;"",C50+'How to use'!$C$19+'How to use'!$C$17,C50+'How to use'!$C$18+'How to use'!$C$17)))</f>
        <v/>
      </c>
      <c r="Z50" s="9"/>
      <c r="AA50" s="36" t="str">
        <f aca="false">IF(P50&lt;&gt;"",P50,IF(L50&lt;&gt;"",L50,""))</f>
        <v/>
      </c>
      <c r="AB50" s="36" t="str">
        <f aca="false">IF(Q50&lt;&gt;"",Q50,IF(M50&lt;&gt;"",M50,""))</f>
        <v/>
      </c>
    </row>
    <row r="51" customFormat="false" ht="15" hidden="false" customHeight="false" outlineLevel="0" collapsed="false">
      <c r="A51" s="9"/>
      <c r="B51" s="9"/>
      <c r="C51" s="26"/>
      <c r="D51" s="9"/>
      <c r="E51" s="9"/>
      <c r="F51" s="9"/>
      <c r="G51" s="27"/>
      <c r="H51" s="28"/>
      <c r="I51" s="28"/>
      <c r="J51" s="29" t="str">
        <f aca="false">IF(OR(H51="",I51="",I51=0),"",H51/I51)</f>
        <v/>
      </c>
      <c r="K51" s="30"/>
      <c r="L51" s="28"/>
      <c r="M51" s="28"/>
      <c r="N51" s="29" t="str">
        <f aca="false">IF(OR(L51="",M51="",M51=0),"",L51/M51)</f>
        <v/>
      </c>
      <c r="O51" s="30"/>
      <c r="P51" s="28"/>
      <c r="Q51" s="28"/>
      <c r="R51" s="29" t="str">
        <f aca="false">IF(OR(P51="",Q51="",Q51=0),"",P51/Q51)</f>
        <v/>
      </c>
      <c r="S51" s="30"/>
      <c r="T51" s="31" t="str">
        <f aca="false">IF(OR(AA51="",H51="",H51=0),"",AA51/H51-1)</f>
        <v/>
      </c>
      <c r="U51" s="31" t="str">
        <f aca="false">IF(OR(AB51="",I51="",I51=0),"",AB51/I51-1)</f>
        <v/>
      </c>
      <c r="V51" s="32" t="str">
        <f aca="false">IF(OR(J51="",IF(R51&lt;&gt;"",R51,N51)=""),"",(IF(R51&lt;&gt;"",R51,N51)-J51)*100)</f>
        <v/>
      </c>
      <c r="W51" s="33" t="str">
        <f aca="false">IF(OR(K51="",IF(S51&lt;&gt;"",S51,O51)=""),"",K51-IF(S51&lt;&gt;"",S51,O51))</f>
        <v/>
      </c>
      <c r="X51" s="34" t="str">
        <f aca="false">IF(F51="","",IF(E51="Redirected (301)",IF(AA51="","Pending","Redirected – see target"),IF(OR(AA51="",H51=""),"Pending",IF(H51=0,IF(AA51&gt;0,"Win","Neutral"),IF(AA51&gt;=H51*(1+'How to use'!$C$15),"Win",IF(AA51&lt;=H51*(1+'How to use'!$C$16),"Loss","Neutral"))))))</f>
        <v/>
      </c>
      <c r="Y51" s="35" t="str">
        <f aca="false">IF(OR(F51="",C51=""),"",IF(P51&lt;&gt;"","Done",IF(L51&lt;&gt;"",C51+'How to use'!$C$19+'How to use'!$C$17,C51+'How to use'!$C$18+'How to use'!$C$17)))</f>
        <v/>
      </c>
      <c r="Z51" s="9"/>
      <c r="AA51" s="36" t="str">
        <f aca="false">IF(P51&lt;&gt;"",P51,IF(L51&lt;&gt;"",L51,""))</f>
        <v/>
      </c>
      <c r="AB51" s="36" t="str">
        <f aca="false">IF(Q51&lt;&gt;"",Q51,IF(M51&lt;&gt;"",M51,""))</f>
        <v/>
      </c>
    </row>
    <row r="52" customFormat="false" ht="15" hidden="false" customHeight="false" outlineLevel="0" collapsed="false">
      <c r="A52" s="9"/>
      <c r="B52" s="9"/>
      <c r="C52" s="26"/>
      <c r="D52" s="9"/>
      <c r="E52" s="9"/>
      <c r="F52" s="9"/>
      <c r="G52" s="27"/>
      <c r="H52" s="28"/>
      <c r="I52" s="28"/>
      <c r="J52" s="29" t="str">
        <f aca="false">IF(OR(H52="",I52="",I52=0),"",H52/I52)</f>
        <v/>
      </c>
      <c r="K52" s="30"/>
      <c r="L52" s="28"/>
      <c r="M52" s="28"/>
      <c r="N52" s="29" t="str">
        <f aca="false">IF(OR(L52="",M52="",M52=0),"",L52/M52)</f>
        <v/>
      </c>
      <c r="O52" s="30"/>
      <c r="P52" s="28"/>
      <c r="Q52" s="28"/>
      <c r="R52" s="29" t="str">
        <f aca="false">IF(OR(P52="",Q52="",Q52=0),"",P52/Q52)</f>
        <v/>
      </c>
      <c r="S52" s="30"/>
      <c r="T52" s="31" t="str">
        <f aca="false">IF(OR(AA52="",H52="",H52=0),"",AA52/H52-1)</f>
        <v/>
      </c>
      <c r="U52" s="31" t="str">
        <f aca="false">IF(OR(AB52="",I52="",I52=0),"",AB52/I52-1)</f>
        <v/>
      </c>
      <c r="V52" s="32" t="str">
        <f aca="false">IF(OR(J52="",IF(R52&lt;&gt;"",R52,N52)=""),"",(IF(R52&lt;&gt;"",R52,N52)-J52)*100)</f>
        <v/>
      </c>
      <c r="W52" s="33" t="str">
        <f aca="false">IF(OR(K52="",IF(S52&lt;&gt;"",S52,O52)=""),"",K52-IF(S52&lt;&gt;"",S52,O52))</f>
        <v/>
      </c>
      <c r="X52" s="34" t="str">
        <f aca="false">IF(F52="","",IF(E52="Redirected (301)",IF(AA52="","Pending","Redirected – see target"),IF(OR(AA52="",H52=""),"Pending",IF(H52=0,IF(AA52&gt;0,"Win","Neutral"),IF(AA52&gt;=H52*(1+'How to use'!$C$15),"Win",IF(AA52&lt;=H52*(1+'How to use'!$C$16),"Loss","Neutral"))))))</f>
        <v/>
      </c>
      <c r="Y52" s="35" t="str">
        <f aca="false">IF(OR(F52="",C52=""),"",IF(P52&lt;&gt;"","Done",IF(L52&lt;&gt;"",C52+'How to use'!$C$19+'How to use'!$C$17,C52+'How to use'!$C$18+'How to use'!$C$17)))</f>
        <v/>
      </c>
      <c r="Z52" s="9"/>
      <c r="AA52" s="36" t="str">
        <f aca="false">IF(P52&lt;&gt;"",P52,IF(L52&lt;&gt;"",L52,""))</f>
        <v/>
      </c>
      <c r="AB52" s="36" t="str">
        <f aca="false">IF(Q52&lt;&gt;"",Q52,IF(M52&lt;&gt;"",M52,""))</f>
        <v/>
      </c>
    </row>
    <row r="53" customFormat="false" ht="15" hidden="false" customHeight="false" outlineLevel="0" collapsed="false">
      <c r="A53" s="9"/>
      <c r="B53" s="9"/>
      <c r="C53" s="26"/>
      <c r="D53" s="9"/>
      <c r="E53" s="9"/>
      <c r="F53" s="9"/>
      <c r="G53" s="27"/>
      <c r="H53" s="28"/>
      <c r="I53" s="28"/>
      <c r="J53" s="29" t="str">
        <f aca="false">IF(OR(H53="",I53="",I53=0),"",H53/I53)</f>
        <v/>
      </c>
      <c r="K53" s="30"/>
      <c r="L53" s="28"/>
      <c r="M53" s="28"/>
      <c r="N53" s="29" t="str">
        <f aca="false">IF(OR(L53="",M53="",M53=0),"",L53/M53)</f>
        <v/>
      </c>
      <c r="O53" s="30"/>
      <c r="P53" s="28"/>
      <c r="Q53" s="28"/>
      <c r="R53" s="29" t="str">
        <f aca="false">IF(OR(P53="",Q53="",Q53=0),"",P53/Q53)</f>
        <v/>
      </c>
      <c r="S53" s="30"/>
      <c r="T53" s="31" t="str">
        <f aca="false">IF(OR(AA53="",H53="",H53=0),"",AA53/H53-1)</f>
        <v/>
      </c>
      <c r="U53" s="31" t="str">
        <f aca="false">IF(OR(AB53="",I53="",I53=0),"",AB53/I53-1)</f>
        <v/>
      </c>
      <c r="V53" s="32" t="str">
        <f aca="false">IF(OR(J53="",IF(R53&lt;&gt;"",R53,N53)=""),"",(IF(R53&lt;&gt;"",R53,N53)-J53)*100)</f>
        <v/>
      </c>
      <c r="W53" s="33" t="str">
        <f aca="false">IF(OR(K53="",IF(S53&lt;&gt;"",S53,O53)=""),"",K53-IF(S53&lt;&gt;"",S53,O53))</f>
        <v/>
      </c>
      <c r="X53" s="34" t="str">
        <f aca="false">IF(F53="","",IF(E53="Redirected (301)",IF(AA53="","Pending","Redirected – see target"),IF(OR(AA53="",H53=""),"Pending",IF(H53=0,IF(AA53&gt;0,"Win","Neutral"),IF(AA53&gt;=H53*(1+'How to use'!$C$15),"Win",IF(AA53&lt;=H53*(1+'How to use'!$C$16),"Loss","Neutral"))))))</f>
        <v/>
      </c>
      <c r="Y53" s="35" t="str">
        <f aca="false">IF(OR(F53="",C53=""),"",IF(P53&lt;&gt;"","Done",IF(L53&lt;&gt;"",C53+'How to use'!$C$19+'How to use'!$C$17,C53+'How to use'!$C$18+'How to use'!$C$17)))</f>
        <v/>
      </c>
      <c r="Z53" s="9"/>
      <c r="AA53" s="36" t="str">
        <f aca="false">IF(P53&lt;&gt;"",P53,IF(L53&lt;&gt;"",L53,""))</f>
        <v/>
      </c>
      <c r="AB53" s="36" t="str">
        <f aca="false">IF(Q53&lt;&gt;"",Q53,IF(M53&lt;&gt;"",M53,""))</f>
        <v/>
      </c>
    </row>
    <row r="54" customFormat="false" ht="15" hidden="false" customHeight="false" outlineLevel="0" collapsed="false">
      <c r="A54" s="9"/>
      <c r="B54" s="9"/>
      <c r="C54" s="26"/>
      <c r="D54" s="9"/>
      <c r="E54" s="9"/>
      <c r="F54" s="9"/>
      <c r="G54" s="27"/>
      <c r="H54" s="28"/>
      <c r="I54" s="28"/>
      <c r="J54" s="29" t="str">
        <f aca="false">IF(OR(H54="",I54="",I54=0),"",H54/I54)</f>
        <v/>
      </c>
      <c r="K54" s="30"/>
      <c r="L54" s="28"/>
      <c r="M54" s="28"/>
      <c r="N54" s="29" t="str">
        <f aca="false">IF(OR(L54="",M54="",M54=0),"",L54/M54)</f>
        <v/>
      </c>
      <c r="O54" s="30"/>
      <c r="P54" s="28"/>
      <c r="Q54" s="28"/>
      <c r="R54" s="29" t="str">
        <f aca="false">IF(OR(P54="",Q54="",Q54=0),"",P54/Q54)</f>
        <v/>
      </c>
      <c r="S54" s="30"/>
      <c r="T54" s="31" t="str">
        <f aca="false">IF(OR(AA54="",H54="",H54=0),"",AA54/H54-1)</f>
        <v/>
      </c>
      <c r="U54" s="31" t="str">
        <f aca="false">IF(OR(AB54="",I54="",I54=0),"",AB54/I54-1)</f>
        <v/>
      </c>
      <c r="V54" s="32" t="str">
        <f aca="false">IF(OR(J54="",IF(R54&lt;&gt;"",R54,N54)=""),"",(IF(R54&lt;&gt;"",R54,N54)-J54)*100)</f>
        <v/>
      </c>
      <c r="W54" s="33" t="str">
        <f aca="false">IF(OR(K54="",IF(S54&lt;&gt;"",S54,O54)=""),"",K54-IF(S54&lt;&gt;"",S54,O54))</f>
        <v/>
      </c>
      <c r="X54" s="34" t="str">
        <f aca="false">IF(F54="","",IF(E54="Redirected (301)",IF(AA54="","Pending","Redirected – see target"),IF(OR(AA54="",H54=""),"Pending",IF(H54=0,IF(AA54&gt;0,"Win","Neutral"),IF(AA54&gt;=H54*(1+'How to use'!$C$15),"Win",IF(AA54&lt;=H54*(1+'How to use'!$C$16),"Loss","Neutral"))))))</f>
        <v/>
      </c>
      <c r="Y54" s="35" t="str">
        <f aca="false">IF(OR(F54="",C54=""),"",IF(P54&lt;&gt;"","Done",IF(L54&lt;&gt;"",C54+'How to use'!$C$19+'How to use'!$C$17,C54+'How to use'!$C$18+'How to use'!$C$17)))</f>
        <v/>
      </c>
      <c r="Z54" s="9"/>
      <c r="AA54" s="36" t="str">
        <f aca="false">IF(P54&lt;&gt;"",P54,IF(L54&lt;&gt;"",L54,""))</f>
        <v/>
      </c>
      <c r="AB54" s="36" t="str">
        <f aca="false">IF(Q54&lt;&gt;"",Q54,IF(M54&lt;&gt;"",M54,""))</f>
        <v/>
      </c>
    </row>
    <row r="55" customFormat="false" ht="15" hidden="false" customHeight="false" outlineLevel="0" collapsed="false">
      <c r="A55" s="9"/>
      <c r="B55" s="9"/>
      <c r="C55" s="26"/>
      <c r="D55" s="9"/>
      <c r="E55" s="9"/>
      <c r="F55" s="9"/>
      <c r="G55" s="27"/>
      <c r="H55" s="28"/>
      <c r="I55" s="28"/>
      <c r="J55" s="29" t="str">
        <f aca="false">IF(OR(H55="",I55="",I55=0),"",H55/I55)</f>
        <v/>
      </c>
      <c r="K55" s="30"/>
      <c r="L55" s="28"/>
      <c r="M55" s="28"/>
      <c r="N55" s="29" t="str">
        <f aca="false">IF(OR(L55="",M55="",M55=0),"",L55/M55)</f>
        <v/>
      </c>
      <c r="O55" s="30"/>
      <c r="P55" s="28"/>
      <c r="Q55" s="28"/>
      <c r="R55" s="29" t="str">
        <f aca="false">IF(OR(P55="",Q55="",Q55=0),"",P55/Q55)</f>
        <v/>
      </c>
      <c r="S55" s="30"/>
      <c r="T55" s="31" t="str">
        <f aca="false">IF(OR(AA55="",H55="",H55=0),"",AA55/H55-1)</f>
        <v/>
      </c>
      <c r="U55" s="31" t="str">
        <f aca="false">IF(OR(AB55="",I55="",I55=0),"",AB55/I55-1)</f>
        <v/>
      </c>
      <c r="V55" s="32" t="str">
        <f aca="false">IF(OR(J55="",IF(R55&lt;&gt;"",R55,N55)=""),"",(IF(R55&lt;&gt;"",R55,N55)-J55)*100)</f>
        <v/>
      </c>
      <c r="W55" s="33" t="str">
        <f aca="false">IF(OR(K55="",IF(S55&lt;&gt;"",S55,O55)=""),"",K55-IF(S55&lt;&gt;"",S55,O55))</f>
        <v/>
      </c>
      <c r="X55" s="34" t="str">
        <f aca="false">IF(F55="","",IF(E55="Redirected (301)",IF(AA55="","Pending","Redirected – see target"),IF(OR(AA55="",H55=""),"Pending",IF(H55=0,IF(AA55&gt;0,"Win","Neutral"),IF(AA55&gt;=H55*(1+'How to use'!$C$15),"Win",IF(AA55&lt;=H55*(1+'How to use'!$C$16),"Loss","Neutral"))))))</f>
        <v/>
      </c>
      <c r="Y55" s="35" t="str">
        <f aca="false">IF(OR(F55="",C55=""),"",IF(P55&lt;&gt;"","Done",IF(L55&lt;&gt;"",C55+'How to use'!$C$19+'How to use'!$C$17,C55+'How to use'!$C$18+'How to use'!$C$17)))</f>
        <v/>
      </c>
      <c r="Z55" s="9"/>
      <c r="AA55" s="36" t="str">
        <f aca="false">IF(P55&lt;&gt;"",P55,IF(L55&lt;&gt;"",L55,""))</f>
        <v/>
      </c>
      <c r="AB55" s="36" t="str">
        <f aca="false">IF(Q55&lt;&gt;"",Q55,IF(M55&lt;&gt;"",M55,""))</f>
        <v/>
      </c>
    </row>
    <row r="56" customFormat="false" ht="15" hidden="false" customHeight="false" outlineLevel="0" collapsed="false">
      <c r="A56" s="9"/>
      <c r="B56" s="9"/>
      <c r="C56" s="26"/>
      <c r="D56" s="9"/>
      <c r="E56" s="9"/>
      <c r="F56" s="9"/>
      <c r="G56" s="27"/>
      <c r="H56" s="28"/>
      <c r="I56" s="28"/>
      <c r="J56" s="29" t="str">
        <f aca="false">IF(OR(H56="",I56="",I56=0),"",H56/I56)</f>
        <v/>
      </c>
      <c r="K56" s="30"/>
      <c r="L56" s="28"/>
      <c r="M56" s="28"/>
      <c r="N56" s="29" t="str">
        <f aca="false">IF(OR(L56="",M56="",M56=0),"",L56/M56)</f>
        <v/>
      </c>
      <c r="O56" s="30"/>
      <c r="P56" s="28"/>
      <c r="Q56" s="28"/>
      <c r="R56" s="29" t="str">
        <f aca="false">IF(OR(P56="",Q56="",Q56=0),"",P56/Q56)</f>
        <v/>
      </c>
      <c r="S56" s="30"/>
      <c r="T56" s="31" t="str">
        <f aca="false">IF(OR(AA56="",H56="",H56=0),"",AA56/H56-1)</f>
        <v/>
      </c>
      <c r="U56" s="31" t="str">
        <f aca="false">IF(OR(AB56="",I56="",I56=0),"",AB56/I56-1)</f>
        <v/>
      </c>
      <c r="V56" s="32" t="str">
        <f aca="false">IF(OR(J56="",IF(R56&lt;&gt;"",R56,N56)=""),"",(IF(R56&lt;&gt;"",R56,N56)-J56)*100)</f>
        <v/>
      </c>
      <c r="W56" s="33" t="str">
        <f aca="false">IF(OR(K56="",IF(S56&lt;&gt;"",S56,O56)=""),"",K56-IF(S56&lt;&gt;"",S56,O56))</f>
        <v/>
      </c>
      <c r="X56" s="34" t="str">
        <f aca="false">IF(F56="","",IF(E56="Redirected (301)",IF(AA56="","Pending","Redirected – see target"),IF(OR(AA56="",H56=""),"Pending",IF(H56=0,IF(AA56&gt;0,"Win","Neutral"),IF(AA56&gt;=H56*(1+'How to use'!$C$15),"Win",IF(AA56&lt;=H56*(1+'How to use'!$C$16),"Loss","Neutral"))))))</f>
        <v/>
      </c>
      <c r="Y56" s="35" t="str">
        <f aca="false">IF(OR(F56="",C56=""),"",IF(P56&lt;&gt;"","Done",IF(L56&lt;&gt;"",C56+'How to use'!$C$19+'How to use'!$C$17,C56+'How to use'!$C$18+'How to use'!$C$17)))</f>
        <v/>
      </c>
      <c r="Z56" s="9"/>
      <c r="AA56" s="36" t="str">
        <f aca="false">IF(P56&lt;&gt;"",P56,IF(L56&lt;&gt;"",L56,""))</f>
        <v/>
      </c>
      <c r="AB56" s="36" t="str">
        <f aca="false">IF(Q56&lt;&gt;"",Q56,IF(M56&lt;&gt;"",M56,""))</f>
        <v/>
      </c>
    </row>
    <row r="57" customFormat="false" ht="15" hidden="false" customHeight="false" outlineLevel="0" collapsed="false">
      <c r="A57" s="9"/>
      <c r="B57" s="9"/>
      <c r="C57" s="26"/>
      <c r="D57" s="9"/>
      <c r="E57" s="9"/>
      <c r="F57" s="9"/>
      <c r="G57" s="27"/>
      <c r="H57" s="28"/>
      <c r="I57" s="28"/>
      <c r="J57" s="29" t="str">
        <f aca="false">IF(OR(H57="",I57="",I57=0),"",H57/I57)</f>
        <v/>
      </c>
      <c r="K57" s="30"/>
      <c r="L57" s="28"/>
      <c r="M57" s="28"/>
      <c r="N57" s="29" t="str">
        <f aca="false">IF(OR(L57="",M57="",M57=0),"",L57/M57)</f>
        <v/>
      </c>
      <c r="O57" s="30"/>
      <c r="P57" s="28"/>
      <c r="Q57" s="28"/>
      <c r="R57" s="29" t="str">
        <f aca="false">IF(OR(P57="",Q57="",Q57=0),"",P57/Q57)</f>
        <v/>
      </c>
      <c r="S57" s="30"/>
      <c r="T57" s="31" t="str">
        <f aca="false">IF(OR(AA57="",H57="",H57=0),"",AA57/H57-1)</f>
        <v/>
      </c>
      <c r="U57" s="31" t="str">
        <f aca="false">IF(OR(AB57="",I57="",I57=0),"",AB57/I57-1)</f>
        <v/>
      </c>
      <c r="V57" s="32" t="str">
        <f aca="false">IF(OR(J57="",IF(R57&lt;&gt;"",R57,N57)=""),"",(IF(R57&lt;&gt;"",R57,N57)-J57)*100)</f>
        <v/>
      </c>
      <c r="W57" s="33" t="str">
        <f aca="false">IF(OR(K57="",IF(S57&lt;&gt;"",S57,O57)=""),"",K57-IF(S57&lt;&gt;"",S57,O57))</f>
        <v/>
      </c>
      <c r="X57" s="34" t="str">
        <f aca="false">IF(F57="","",IF(E57="Redirected (301)",IF(AA57="","Pending","Redirected – see target"),IF(OR(AA57="",H57=""),"Pending",IF(H57=0,IF(AA57&gt;0,"Win","Neutral"),IF(AA57&gt;=H57*(1+'How to use'!$C$15),"Win",IF(AA57&lt;=H57*(1+'How to use'!$C$16),"Loss","Neutral"))))))</f>
        <v/>
      </c>
      <c r="Y57" s="35" t="str">
        <f aca="false">IF(OR(F57="",C57=""),"",IF(P57&lt;&gt;"","Done",IF(L57&lt;&gt;"",C57+'How to use'!$C$19+'How to use'!$C$17,C57+'How to use'!$C$18+'How to use'!$C$17)))</f>
        <v/>
      </c>
      <c r="Z57" s="9"/>
      <c r="AA57" s="36" t="str">
        <f aca="false">IF(P57&lt;&gt;"",P57,IF(L57&lt;&gt;"",L57,""))</f>
        <v/>
      </c>
      <c r="AB57" s="36" t="str">
        <f aca="false">IF(Q57&lt;&gt;"",Q57,IF(M57&lt;&gt;"",M57,""))</f>
        <v/>
      </c>
    </row>
    <row r="58" customFormat="false" ht="15" hidden="false" customHeight="false" outlineLevel="0" collapsed="false">
      <c r="A58" s="9"/>
      <c r="B58" s="9"/>
      <c r="C58" s="26"/>
      <c r="D58" s="9"/>
      <c r="E58" s="9"/>
      <c r="F58" s="9"/>
      <c r="G58" s="27"/>
      <c r="H58" s="28"/>
      <c r="I58" s="28"/>
      <c r="J58" s="29" t="str">
        <f aca="false">IF(OR(H58="",I58="",I58=0),"",H58/I58)</f>
        <v/>
      </c>
      <c r="K58" s="30"/>
      <c r="L58" s="28"/>
      <c r="M58" s="28"/>
      <c r="N58" s="29" t="str">
        <f aca="false">IF(OR(L58="",M58="",M58=0),"",L58/M58)</f>
        <v/>
      </c>
      <c r="O58" s="30"/>
      <c r="P58" s="28"/>
      <c r="Q58" s="28"/>
      <c r="R58" s="29" t="str">
        <f aca="false">IF(OR(P58="",Q58="",Q58=0),"",P58/Q58)</f>
        <v/>
      </c>
      <c r="S58" s="30"/>
      <c r="T58" s="31" t="str">
        <f aca="false">IF(OR(AA58="",H58="",H58=0),"",AA58/H58-1)</f>
        <v/>
      </c>
      <c r="U58" s="31" t="str">
        <f aca="false">IF(OR(AB58="",I58="",I58=0),"",AB58/I58-1)</f>
        <v/>
      </c>
      <c r="V58" s="32" t="str">
        <f aca="false">IF(OR(J58="",IF(R58&lt;&gt;"",R58,N58)=""),"",(IF(R58&lt;&gt;"",R58,N58)-J58)*100)</f>
        <v/>
      </c>
      <c r="W58" s="33" t="str">
        <f aca="false">IF(OR(K58="",IF(S58&lt;&gt;"",S58,O58)=""),"",K58-IF(S58&lt;&gt;"",S58,O58))</f>
        <v/>
      </c>
      <c r="X58" s="34" t="str">
        <f aca="false">IF(F58="","",IF(E58="Redirected (301)",IF(AA58="","Pending","Redirected – see target"),IF(OR(AA58="",H58=""),"Pending",IF(H58=0,IF(AA58&gt;0,"Win","Neutral"),IF(AA58&gt;=H58*(1+'How to use'!$C$15),"Win",IF(AA58&lt;=H58*(1+'How to use'!$C$16),"Loss","Neutral"))))))</f>
        <v/>
      </c>
      <c r="Y58" s="35" t="str">
        <f aca="false">IF(OR(F58="",C58=""),"",IF(P58&lt;&gt;"","Done",IF(L58&lt;&gt;"",C58+'How to use'!$C$19+'How to use'!$C$17,C58+'How to use'!$C$18+'How to use'!$C$17)))</f>
        <v/>
      </c>
      <c r="Z58" s="9"/>
      <c r="AA58" s="36" t="str">
        <f aca="false">IF(P58&lt;&gt;"",P58,IF(L58&lt;&gt;"",L58,""))</f>
        <v/>
      </c>
      <c r="AB58" s="36" t="str">
        <f aca="false">IF(Q58&lt;&gt;"",Q58,IF(M58&lt;&gt;"",M58,""))</f>
        <v/>
      </c>
    </row>
    <row r="59" customFormat="false" ht="15" hidden="false" customHeight="false" outlineLevel="0" collapsed="false">
      <c r="A59" s="9"/>
      <c r="B59" s="9"/>
      <c r="C59" s="26"/>
      <c r="D59" s="9"/>
      <c r="E59" s="9"/>
      <c r="F59" s="9"/>
      <c r="G59" s="27"/>
      <c r="H59" s="28"/>
      <c r="I59" s="28"/>
      <c r="J59" s="29" t="str">
        <f aca="false">IF(OR(H59="",I59="",I59=0),"",H59/I59)</f>
        <v/>
      </c>
      <c r="K59" s="30"/>
      <c r="L59" s="28"/>
      <c r="M59" s="28"/>
      <c r="N59" s="29" t="str">
        <f aca="false">IF(OR(L59="",M59="",M59=0),"",L59/M59)</f>
        <v/>
      </c>
      <c r="O59" s="30"/>
      <c r="P59" s="28"/>
      <c r="Q59" s="28"/>
      <c r="R59" s="29" t="str">
        <f aca="false">IF(OR(P59="",Q59="",Q59=0),"",P59/Q59)</f>
        <v/>
      </c>
      <c r="S59" s="30"/>
      <c r="T59" s="31" t="str">
        <f aca="false">IF(OR(AA59="",H59="",H59=0),"",AA59/H59-1)</f>
        <v/>
      </c>
      <c r="U59" s="31" t="str">
        <f aca="false">IF(OR(AB59="",I59="",I59=0),"",AB59/I59-1)</f>
        <v/>
      </c>
      <c r="V59" s="32" t="str">
        <f aca="false">IF(OR(J59="",IF(R59&lt;&gt;"",R59,N59)=""),"",(IF(R59&lt;&gt;"",R59,N59)-J59)*100)</f>
        <v/>
      </c>
      <c r="W59" s="33" t="str">
        <f aca="false">IF(OR(K59="",IF(S59&lt;&gt;"",S59,O59)=""),"",K59-IF(S59&lt;&gt;"",S59,O59))</f>
        <v/>
      </c>
      <c r="X59" s="34" t="str">
        <f aca="false">IF(F59="","",IF(E59="Redirected (301)",IF(AA59="","Pending","Redirected – see target"),IF(OR(AA59="",H59=""),"Pending",IF(H59=0,IF(AA59&gt;0,"Win","Neutral"),IF(AA59&gt;=H59*(1+'How to use'!$C$15),"Win",IF(AA59&lt;=H59*(1+'How to use'!$C$16),"Loss","Neutral"))))))</f>
        <v/>
      </c>
      <c r="Y59" s="35" t="str">
        <f aca="false">IF(OR(F59="",C59=""),"",IF(P59&lt;&gt;"","Done",IF(L59&lt;&gt;"",C59+'How to use'!$C$19+'How to use'!$C$17,C59+'How to use'!$C$18+'How to use'!$C$17)))</f>
        <v/>
      </c>
      <c r="Z59" s="9"/>
      <c r="AA59" s="36" t="str">
        <f aca="false">IF(P59&lt;&gt;"",P59,IF(L59&lt;&gt;"",L59,""))</f>
        <v/>
      </c>
      <c r="AB59" s="36" t="str">
        <f aca="false">IF(Q59&lt;&gt;"",Q59,IF(M59&lt;&gt;"",M59,""))</f>
        <v/>
      </c>
    </row>
    <row r="60" customFormat="false" ht="15" hidden="false" customHeight="false" outlineLevel="0" collapsed="false">
      <c r="A60" s="9"/>
      <c r="B60" s="9"/>
      <c r="C60" s="26"/>
      <c r="D60" s="9"/>
      <c r="E60" s="9"/>
      <c r="F60" s="9"/>
      <c r="G60" s="27"/>
      <c r="H60" s="28"/>
      <c r="I60" s="28"/>
      <c r="J60" s="29" t="str">
        <f aca="false">IF(OR(H60="",I60="",I60=0),"",H60/I60)</f>
        <v/>
      </c>
      <c r="K60" s="30"/>
      <c r="L60" s="28"/>
      <c r="M60" s="28"/>
      <c r="N60" s="29" t="str">
        <f aca="false">IF(OR(L60="",M60="",M60=0),"",L60/M60)</f>
        <v/>
      </c>
      <c r="O60" s="30"/>
      <c r="P60" s="28"/>
      <c r="Q60" s="28"/>
      <c r="R60" s="29" t="str">
        <f aca="false">IF(OR(P60="",Q60="",Q60=0),"",P60/Q60)</f>
        <v/>
      </c>
      <c r="S60" s="30"/>
      <c r="T60" s="31" t="str">
        <f aca="false">IF(OR(AA60="",H60="",H60=0),"",AA60/H60-1)</f>
        <v/>
      </c>
      <c r="U60" s="31" t="str">
        <f aca="false">IF(OR(AB60="",I60="",I60=0),"",AB60/I60-1)</f>
        <v/>
      </c>
      <c r="V60" s="32" t="str">
        <f aca="false">IF(OR(J60="",IF(R60&lt;&gt;"",R60,N60)=""),"",(IF(R60&lt;&gt;"",R60,N60)-J60)*100)</f>
        <v/>
      </c>
      <c r="W60" s="33" t="str">
        <f aca="false">IF(OR(K60="",IF(S60&lt;&gt;"",S60,O60)=""),"",K60-IF(S60&lt;&gt;"",S60,O60))</f>
        <v/>
      </c>
      <c r="X60" s="34" t="str">
        <f aca="false">IF(F60="","",IF(E60="Redirected (301)",IF(AA60="","Pending","Redirected – see target"),IF(OR(AA60="",H60=""),"Pending",IF(H60=0,IF(AA60&gt;0,"Win","Neutral"),IF(AA60&gt;=H60*(1+'How to use'!$C$15),"Win",IF(AA60&lt;=H60*(1+'How to use'!$C$16),"Loss","Neutral"))))))</f>
        <v/>
      </c>
      <c r="Y60" s="35" t="str">
        <f aca="false">IF(OR(F60="",C60=""),"",IF(P60&lt;&gt;"","Done",IF(L60&lt;&gt;"",C60+'How to use'!$C$19+'How to use'!$C$17,C60+'How to use'!$C$18+'How to use'!$C$17)))</f>
        <v/>
      </c>
      <c r="Z60" s="9"/>
      <c r="AA60" s="36" t="str">
        <f aca="false">IF(P60&lt;&gt;"",P60,IF(L60&lt;&gt;"",L60,""))</f>
        <v/>
      </c>
      <c r="AB60" s="36" t="str">
        <f aca="false">IF(Q60&lt;&gt;"",Q60,IF(M60&lt;&gt;"",M60,""))</f>
        <v/>
      </c>
    </row>
    <row r="61" customFormat="false" ht="15" hidden="false" customHeight="false" outlineLevel="0" collapsed="false">
      <c r="A61" s="9"/>
      <c r="B61" s="9"/>
      <c r="C61" s="26"/>
      <c r="D61" s="9"/>
      <c r="E61" s="9"/>
      <c r="F61" s="9"/>
      <c r="G61" s="27"/>
      <c r="H61" s="28"/>
      <c r="I61" s="28"/>
      <c r="J61" s="29" t="str">
        <f aca="false">IF(OR(H61="",I61="",I61=0),"",H61/I61)</f>
        <v/>
      </c>
      <c r="K61" s="30"/>
      <c r="L61" s="28"/>
      <c r="M61" s="28"/>
      <c r="N61" s="29" t="str">
        <f aca="false">IF(OR(L61="",M61="",M61=0),"",L61/M61)</f>
        <v/>
      </c>
      <c r="O61" s="30"/>
      <c r="P61" s="28"/>
      <c r="Q61" s="28"/>
      <c r="R61" s="29" t="str">
        <f aca="false">IF(OR(P61="",Q61="",Q61=0),"",P61/Q61)</f>
        <v/>
      </c>
      <c r="S61" s="30"/>
      <c r="T61" s="31" t="str">
        <f aca="false">IF(OR(AA61="",H61="",H61=0),"",AA61/H61-1)</f>
        <v/>
      </c>
      <c r="U61" s="31" t="str">
        <f aca="false">IF(OR(AB61="",I61="",I61=0),"",AB61/I61-1)</f>
        <v/>
      </c>
      <c r="V61" s="32" t="str">
        <f aca="false">IF(OR(J61="",IF(R61&lt;&gt;"",R61,N61)=""),"",(IF(R61&lt;&gt;"",R61,N61)-J61)*100)</f>
        <v/>
      </c>
      <c r="W61" s="33" t="str">
        <f aca="false">IF(OR(K61="",IF(S61&lt;&gt;"",S61,O61)=""),"",K61-IF(S61&lt;&gt;"",S61,O61))</f>
        <v/>
      </c>
      <c r="X61" s="34" t="str">
        <f aca="false">IF(F61="","",IF(E61="Redirected (301)",IF(AA61="","Pending","Redirected – see target"),IF(OR(AA61="",H61=""),"Pending",IF(H61=0,IF(AA61&gt;0,"Win","Neutral"),IF(AA61&gt;=H61*(1+'How to use'!$C$15),"Win",IF(AA61&lt;=H61*(1+'How to use'!$C$16),"Loss","Neutral"))))))</f>
        <v/>
      </c>
      <c r="Y61" s="35" t="str">
        <f aca="false">IF(OR(F61="",C61=""),"",IF(P61&lt;&gt;"","Done",IF(L61&lt;&gt;"",C61+'How to use'!$C$19+'How to use'!$C$17,C61+'How to use'!$C$18+'How to use'!$C$17)))</f>
        <v/>
      </c>
      <c r="Z61" s="9"/>
      <c r="AA61" s="36" t="str">
        <f aca="false">IF(P61&lt;&gt;"",P61,IF(L61&lt;&gt;"",L61,""))</f>
        <v/>
      </c>
      <c r="AB61" s="36" t="str">
        <f aca="false">IF(Q61&lt;&gt;"",Q61,IF(M61&lt;&gt;"",M61,""))</f>
        <v/>
      </c>
    </row>
    <row r="62" customFormat="false" ht="15" hidden="false" customHeight="false" outlineLevel="0" collapsed="false">
      <c r="A62" s="9"/>
      <c r="B62" s="9"/>
      <c r="C62" s="26"/>
      <c r="D62" s="9"/>
      <c r="E62" s="9"/>
      <c r="F62" s="9"/>
      <c r="G62" s="27"/>
      <c r="H62" s="28"/>
      <c r="I62" s="28"/>
      <c r="J62" s="29" t="str">
        <f aca="false">IF(OR(H62="",I62="",I62=0),"",H62/I62)</f>
        <v/>
      </c>
      <c r="K62" s="30"/>
      <c r="L62" s="28"/>
      <c r="M62" s="28"/>
      <c r="N62" s="29" t="str">
        <f aca="false">IF(OR(L62="",M62="",M62=0),"",L62/M62)</f>
        <v/>
      </c>
      <c r="O62" s="30"/>
      <c r="P62" s="28"/>
      <c r="Q62" s="28"/>
      <c r="R62" s="29" t="str">
        <f aca="false">IF(OR(P62="",Q62="",Q62=0),"",P62/Q62)</f>
        <v/>
      </c>
      <c r="S62" s="30"/>
      <c r="T62" s="31" t="str">
        <f aca="false">IF(OR(AA62="",H62="",H62=0),"",AA62/H62-1)</f>
        <v/>
      </c>
      <c r="U62" s="31" t="str">
        <f aca="false">IF(OR(AB62="",I62="",I62=0),"",AB62/I62-1)</f>
        <v/>
      </c>
      <c r="V62" s="32" t="str">
        <f aca="false">IF(OR(J62="",IF(R62&lt;&gt;"",R62,N62)=""),"",(IF(R62&lt;&gt;"",R62,N62)-J62)*100)</f>
        <v/>
      </c>
      <c r="W62" s="33" t="str">
        <f aca="false">IF(OR(K62="",IF(S62&lt;&gt;"",S62,O62)=""),"",K62-IF(S62&lt;&gt;"",S62,O62))</f>
        <v/>
      </c>
      <c r="X62" s="34" t="str">
        <f aca="false">IF(F62="","",IF(E62="Redirected (301)",IF(AA62="","Pending","Redirected – see target"),IF(OR(AA62="",H62=""),"Pending",IF(H62=0,IF(AA62&gt;0,"Win","Neutral"),IF(AA62&gt;=H62*(1+'How to use'!$C$15),"Win",IF(AA62&lt;=H62*(1+'How to use'!$C$16),"Loss","Neutral"))))))</f>
        <v/>
      </c>
      <c r="Y62" s="35" t="str">
        <f aca="false">IF(OR(F62="",C62=""),"",IF(P62&lt;&gt;"","Done",IF(L62&lt;&gt;"",C62+'How to use'!$C$19+'How to use'!$C$17,C62+'How to use'!$C$18+'How to use'!$C$17)))</f>
        <v/>
      </c>
      <c r="Z62" s="9"/>
      <c r="AA62" s="36" t="str">
        <f aca="false">IF(P62&lt;&gt;"",P62,IF(L62&lt;&gt;"",L62,""))</f>
        <v/>
      </c>
      <c r="AB62" s="36" t="str">
        <f aca="false">IF(Q62&lt;&gt;"",Q62,IF(M62&lt;&gt;"",M62,""))</f>
        <v/>
      </c>
    </row>
    <row r="63" customFormat="false" ht="15" hidden="false" customHeight="false" outlineLevel="0" collapsed="false">
      <c r="A63" s="9"/>
      <c r="B63" s="9"/>
      <c r="C63" s="26"/>
      <c r="D63" s="9"/>
      <c r="E63" s="9"/>
      <c r="F63" s="9"/>
      <c r="G63" s="27"/>
      <c r="H63" s="28"/>
      <c r="I63" s="28"/>
      <c r="J63" s="29" t="str">
        <f aca="false">IF(OR(H63="",I63="",I63=0),"",H63/I63)</f>
        <v/>
      </c>
      <c r="K63" s="30"/>
      <c r="L63" s="28"/>
      <c r="M63" s="28"/>
      <c r="N63" s="29" t="str">
        <f aca="false">IF(OR(L63="",M63="",M63=0),"",L63/M63)</f>
        <v/>
      </c>
      <c r="O63" s="30"/>
      <c r="P63" s="28"/>
      <c r="Q63" s="28"/>
      <c r="R63" s="29" t="str">
        <f aca="false">IF(OR(P63="",Q63="",Q63=0),"",P63/Q63)</f>
        <v/>
      </c>
      <c r="S63" s="30"/>
      <c r="T63" s="31" t="str">
        <f aca="false">IF(OR(AA63="",H63="",H63=0),"",AA63/H63-1)</f>
        <v/>
      </c>
      <c r="U63" s="31" t="str">
        <f aca="false">IF(OR(AB63="",I63="",I63=0),"",AB63/I63-1)</f>
        <v/>
      </c>
      <c r="V63" s="32" t="str">
        <f aca="false">IF(OR(J63="",IF(R63&lt;&gt;"",R63,N63)=""),"",(IF(R63&lt;&gt;"",R63,N63)-J63)*100)</f>
        <v/>
      </c>
      <c r="W63" s="33" t="str">
        <f aca="false">IF(OR(K63="",IF(S63&lt;&gt;"",S63,O63)=""),"",K63-IF(S63&lt;&gt;"",S63,O63))</f>
        <v/>
      </c>
      <c r="X63" s="34" t="str">
        <f aca="false">IF(F63="","",IF(E63="Redirected (301)",IF(AA63="","Pending","Redirected – see target"),IF(OR(AA63="",H63=""),"Pending",IF(H63=0,IF(AA63&gt;0,"Win","Neutral"),IF(AA63&gt;=H63*(1+'How to use'!$C$15),"Win",IF(AA63&lt;=H63*(1+'How to use'!$C$16),"Loss","Neutral"))))))</f>
        <v/>
      </c>
      <c r="Y63" s="35" t="str">
        <f aca="false">IF(OR(F63="",C63=""),"",IF(P63&lt;&gt;"","Done",IF(L63&lt;&gt;"",C63+'How to use'!$C$19+'How to use'!$C$17,C63+'How to use'!$C$18+'How to use'!$C$17)))</f>
        <v/>
      </c>
      <c r="Z63" s="9"/>
      <c r="AA63" s="36" t="str">
        <f aca="false">IF(P63&lt;&gt;"",P63,IF(L63&lt;&gt;"",L63,""))</f>
        <v/>
      </c>
      <c r="AB63" s="36" t="str">
        <f aca="false">IF(Q63&lt;&gt;"",Q63,IF(M63&lt;&gt;"",M63,""))</f>
        <v/>
      </c>
    </row>
    <row r="64" customFormat="false" ht="15" hidden="false" customHeight="false" outlineLevel="0" collapsed="false">
      <c r="A64" s="9"/>
      <c r="B64" s="9"/>
      <c r="C64" s="26"/>
      <c r="D64" s="9"/>
      <c r="E64" s="9"/>
      <c r="F64" s="9"/>
      <c r="G64" s="27"/>
      <c r="H64" s="28"/>
      <c r="I64" s="28"/>
      <c r="J64" s="29" t="str">
        <f aca="false">IF(OR(H64="",I64="",I64=0),"",H64/I64)</f>
        <v/>
      </c>
      <c r="K64" s="30"/>
      <c r="L64" s="28"/>
      <c r="M64" s="28"/>
      <c r="N64" s="29" t="str">
        <f aca="false">IF(OR(L64="",M64="",M64=0),"",L64/M64)</f>
        <v/>
      </c>
      <c r="O64" s="30"/>
      <c r="P64" s="28"/>
      <c r="Q64" s="28"/>
      <c r="R64" s="29" t="str">
        <f aca="false">IF(OR(P64="",Q64="",Q64=0),"",P64/Q64)</f>
        <v/>
      </c>
      <c r="S64" s="30"/>
      <c r="T64" s="31" t="str">
        <f aca="false">IF(OR(AA64="",H64="",H64=0),"",AA64/H64-1)</f>
        <v/>
      </c>
      <c r="U64" s="31" t="str">
        <f aca="false">IF(OR(AB64="",I64="",I64=0),"",AB64/I64-1)</f>
        <v/>
      </c>
      <c r="V64" s="32" t="str">
        <f aca="false">IF(OR(J64="",IF(R64&lt;&gt;"",R64,N64)=""),"",(IF(R64&lt;&gt;"",R64,N64)-J64)*100)</f>
        <v/>
      </c>
      <c r="W64" s="33" t="str">
        <f aca="false">IF(OR(K64="",IF(S64&lt;&gt;"",S64,O64)=""),"",K64-IF(S64&lt;&gt;"",S64,O64))</f>
        <v/>
      </c>
      <c r="X64" s="34" t="str">
        <f aca="false">IF(F64="","",IF(E64="Redirected (301)",IF(AA64="","Pending","Redirected – see target"),IF(OR(AA64="",H64=""),"Pending",IF(H64=0,IF(AA64&gt;0,"Win","Neutral"),IF(AA64&gt;=H64*(1+'How to use'!$C$15),"Win",IF(AA64&lt;=H64*(1+'How to use'!$C$16),"Loss","Neutral"))))))</f>
        <v/>
      </c>
      <c r="Y64" s="35" t="str">
        <f aca="false">IF(OR(F64="",C64=""),"",IF(P64&lt;&gt;"","Done",IF(L64&lt;&gt;"",C64+'How to use'!$C$19+'How to use'!$C$17,C64+'How to use'!$C$18+'How to use'!$C$17)))</f>
        <v/>
      </c>
      <c r="Z64" s="9"/>
      <c r="AA64" s="36" t="str">
        <f aca="false">IF(P64&lt;&gt;"",P64,IF(L64&lt;&gt;"",L64,""))</f>
        <v/>
      </c>
      <c r="AB64" s="36" t="str">
        <f aca="false">IF(Q64&lt;&gt;"",Q64,IF(M64&lt;&gt;"",M64,""))</f>
        <v/>
      </c>
    </row>
    <row r="65" customFormat="false" ht="15" hidden="false" customHeight="false" outlineLevel="0" collapsed="false">
      <c r="A65" s="9"/>
      <c r="B65" s="9"/>
      <c r="C65" s="26"/>
      <c r="D65" s="9"/>
      <c r="E65" s="9"/>
      <c r="F65" s="9"/>
      <c r="G65" s="27"/>
      <c r="H65" s="28"/>
      <c r="I65" s="28"/>
      <c r="J65" s="29" t="str">
        <f aca="false">IF(OR(H65="",I65="",I65=0),"",H65/I65)</f>
        <v/>
      </c>
      <c r="K65" s="30"/>
      <c r="L65" s="28"/>
      <c r="M65" s="28"/>
      <c r="N65" s="29" t="str">
        <f aca="false">IF(OR(L65="",M65="",M65=0),"",L65/M65)</f>
        <v/>
      </c>
      <c r="O65" s="30"/>
      <c r="P65" s="28"/>
      <c r="Q65" s="28"/>
      <c r="R65" s="29" t="str">
        <f aca="false">IF(OR(P65="",Q65="",Q65=0),"",P65/Q65)</f>
        <v/>
      </c>
      <c r="S65" s="30"/>
      <c r="T65" s="31" t="str">
        <f aca="false">IF(OR(AA65="",H65="",H65=0),"",AA65/H65-1)</f>
        <v/>
      </c>
      <c r="U65" s="31" t="str">
        <f aca="false">IF(OR(AB65="",I65="",I65=0),"",AB65/I65-1)</f>
        <v/>
      </c>
      <c r="V65" s="32" t="str">
        <f aca="false">IF(OR(J65="",IF(R65&lt;&gt;"",R65,N65)=""),"",(IF(R65&lt;&gt;"",R65,N65)-J65)*100)</f>
        <v/>
      </c>
      <c r="W65" s="33" t="str">
        <f aca="false">IF(OR(K65="",IF(S65&lt;&gt;"",S65,O65)=""),"",K65-IF(S65&lt;&gt;"",S65,O65))</f>
        <v/>
      </c>
      <c r="X65" s="34" t="str">
        <f aca="false">IF(F65="","",IF(E65="Redirected (301)",IF(AA65="","Pending","Redirected – see target"),IF(OR(AA65="",H65=""),"Pending",IF(H65=0,IF(AA65&gt;0,"Win","Neutral"),IF(AA65&gt;=H65*(1+'How to use'!$C$15),"Win",IF(AA65&lt;=H65*(1+'How to use'!$C$16),"Loss","Neutral"))))))</f>
        <v/>
      </c>
      <c r="Y65" s="35" t="str">
        <f aca="false">IF(OR(F65="",C65=""),"",IF(P65&lt;&gt;"","Done",IF(L65&lt;&gt;"",C65+'How to use'!$C$19+'How to use'!$C$17,C65+'How to use'!$C$18+'How to use'!$C$17)))</f>
        <v/>
      </c>
      <c r="Z65" s="9"/>
      <c r="AA65" s="36" t="str">
        <f aca="false">IF(P65&lt;&gt;"",P65,IF(L65&lt;&gt;"",L65,""))</f>
        <v/>
      </c>
      <c r="AB65" s="36" t="str">
        <f aca="false">IF(Q65&lt;&gt;"",Q65,IF(M65&lt;&gt;"",M65,""))</f>
        <v/>
      </c>
    </row>
    <row r="66" customFormat="false" ht="15" hidden="false" customHeight="false" outlineLevel="0" collapsed="false">
      <c r="A66" s="9"/>
      <c r="B66" s="9"/>
      <c r="C66" s="26"/>
      <c r="D66" s="9"/>
      <c r="E66" s="9"/>
      <c r="F66" s="9"/>
      <c r="G66" s="27"/>
      <c r="H66" s="28"/>
      <c r="I66" s="28"/>
      <c r="J66" s="29" t="str">
        <f aca="false">IF(OR(H66="",I66="",I66=0),"",H66/I66)</f>
        <v/>
      </c>
      <c r="K66" s="30"/>
      <c r="L66" s="28"/>
      <c r="M66" s="28"/>
      <c r="N66" s="29" t="str">
        <f aca="false">IF(OR(L66="",M66="",M66=0),"",L66/M66)</f>
        <v/>
      </c>
      <c r="O66" s="30"/>
      <c r="P66" s="28"/>
      <c r="Q66" s="28"/>
      <c r="R66" s="29" t="str">
        <f aca="false">IF(OR(P66="",Q66="",Q66=0),"",P66/Q66)</f>
        <v/>
      </c>
      <c r="S66" s="30"/>
      <c r="T66" s="31" t="str">
        <f aca="false">IF(OR(AA66="",H66="",H66=0),"",AA66/H66-1)</f>
        <v/>
      </c>
      <c r="U66" s="31" t="str">
        <f aca="false">IF(OR(AB66="",I66="",I66=0),"",AB66/I66-1)</f>
        <v/>
      </c>
      <c r="V66" s="32" t="str">
        <f aca="false">IF(OR(J66="",IF(R66&lt;&gt;"",R66,N66)=""),"",(IF(R66&lt;&gt;"",R66,N66)-J66)*100)</f>
        <v/>
      </c>
      <c r="W66" s="33" t="str">
        <f aca="false">IF(OR(K66="",IF(S66&lt;&gt;"",S66,O66)=""),"",K66-IF(S66&lt;&gt;"",S66,O66))</f>
        <v/>
      </c>
      <c r="X66" s="34" t="str">
        <f aca="false">IF(F66="","",IF(E66="Redirected (301)",IF(AA66="","Pending","Redirected – see target"),IF(OR(AA66="",H66=""),"Pending",IF(H66=0,IF(AA66&gt;0,"Win","Neutral"),IF(AA66&gt;=H66*(1+'How to use'!$C$15),"Win",IF(AA66&lt;=H66*(1+'How to use'!$C$16),"Loss","Neutral"))))))</f>
        <v/>
      </c>
      <c r="Y66" s="35" t="str">
        <f aca="false">IF(OR(F66="",C66=""),"",IF(P66&lt;&gt;"","Done",IF(L66&lt;&gt;"",C66+'How to use'!$C$19+'How to use'!$C$17,C66+'How to use'!$C$18+'How to use'!$C$17)))</f>
        <v/>
      </c>
      <c r="Z66" s="9"/>
      <c r="AA66" s="36" t="str">
        <f aca="false">IF(P66&lt;&gt;"",P66,IF(L66&lt;&gt;"",L66,""))</f>
        <v/>
      </c>
      <c r="AB66" s="36" t="str">
        <f aca="false">IF(Q66&lt;&gt;"",Q66,IF(M66&lt;&gt;"",M66,""))</f>
        <v/>
      </c>
    </row>
    <row r="67" customFormat="false" ht="15" hidden="false" customHeight="false" outlineLevel="0" collapsed="false">
      <c r="A67" s="9"/>
      <c r="B67" s="9"/>
      <c r="C67" s="26"/>
      <c r="D67" s="9"/>
      <c r="E67" s="9"/>
      <c r="F67" s="9"/>
      <c r="G67" s="27"/>
      <c r="H67" s="28"/>
      <c r="I67" s="28"/>
      <c r="J67" s="29" t="str">
        <f aca="false">IF(OR(H67="",I67="",I67=0),"",H67/I67)</f>
        <v/>
      </c>
      <c r="K67" s="30"/>
      <c r="L67" s="28"/>
      <c r="M67" s="28"/>
      <c r="N67" s="29" t="str">
        <f aca="false">IF(OR(L67="",M67="",M67=0),"",L67/M67)</f>
        <v/>
      </c>
      <c r="O67" s="30"/>
      <c r="P67" s="28"/>
      <c r="Q67" s="28"/>
      <c r="R67" s="29" t="str">
        <f aca="false">IF(OR(P67="",Q67="",Q67=0),"",P67/Q67)</f>
        <v/>
      </c>
      <c r="S67" s="30"/>
      <c r="T67" s="31" t="str">
        <f aca="false">IF(OR(AA67="",H67="",H67=0),"",AA67/H67-1)</f>
        <v/>
      </c>
      <c r="U67" s="31" t="str">
        <f aca="false">IF(OR(AB67="",I67="",I67=0),"",AB67/I67-1)</f>
        <v/>
      </c>
      <c r="V67" s="32" t="str">
        <f aca="false">IF(OR(J67="",IF(R67&lt;&gt;"",R67,N67)=""),"",(IF(R67&lt;&gt;"",R67,N67)-J67)*100)</f>
        <v/>
      </c>
      <c r="W67" s="33" t="str">
        <f aca="false">IF(OR(K67="",IF(S67&lt;&gt;"",S67,O67)=""),"",K67-IF(S67&lt;&gt;"",S67,O67))</f>
        <v/>
      </c>
      <c r="X67" s="34" t="str">
        <f aca="false">IF(F67="","",IF(E67="Redirected (301)",IF(AA67="","Pending","Redirected – see target"),IF(OR(AA67="",H67=""),"Pending",IF(H67=0,IF(AA67&gt;0,"Win","Neutral"),IF(AA67&gt;=H67*(1+'How to use'!$C$15),"Win",IF(AA67&lt;=H67*(1+'How to use'!$C$16),"Loss","Neutral"))))))</f>
        <v/>
      </c>
      <c r="Y67" s="35" t="str">
        <f aca="false">IF(OR(F67="",C67=""),"",IF(P67&lt;&gt;"","Done",IF(L67&lt;&gt;"",C67+'How to use'!$C$19+'How to use'!$C$17,C67+'How to use'!$C$18+'How to use'!$C$17)))</f>
        <v/>
      </c>
      <c r="Z67" s="9"/>
      <c r="AA67" s="36" t="str">
        <f aca="false">IF(P67&lt;&gt;"",P67,IF(L67&lt;&gt;"",L67,""))</f>
        <v/>
      </c>
      <c r="AB67" s="36" t="str">
        <f aca="false">IF(Q67&lt;&gt;"",Q67,IF(M67&lt;&gt;"",M67,""))</f>
        <v/>
      </c>
    </row>
    <row r="68" customFormat="false" ht="15" hidden="false" customHeight="false" outlineLevel="0" collapsed="false">
      <c r="A68" s="9"/>
      <c r="B68" s="9"/>
      <c r="C68" s="26"/>
      <c r="D68" s="9"/>
      <c r="E68" s="9"/>
      <c r="F68" s="9"/>
      <c r="G68" s="27"/>
      <c r="H68" s="28"/>
      <c r="I68" s="28"/>
      <c r="J68" s="29" t="str">
        <f aca="false">IF(OR(H68="",I68="",I68=0),"",H68/I68)</f>
        <v/>
      </c>
      <c r="K68" s="30"/>
      <c r="L68" s="28"/>
      <c r="M68" s="28"/>
      <c r="N68" s="29" t="str">
        <f aca="false">IF(OR(L68="",M68="",M68=0),"",L68/M68)</f>
        <v/>
      </c>
      <c r="O68" s="30"/>
      <c r="P68" s="28"/>
      <c r="Q68" s="28"/>
      <c r="R68" s="29" t="str">
        <f aca="false">IF(OR(P68="",Q68="",Q68=0),"",P68/Q68)</f>
        <v/>
      </c>
      <c r="S68" s="30"/>
      <c r="T68" s="31" t="str">
        <f aca="false">IF(OR(AA68="",H68="",H68=0),"",AA68/H68-1)</f>
        <v/>
      </c>
      <c r="U68" s="31" t="str">
        <f aca="false">IF(OR(AB68="",I68="",I68=0),"",AB68/I68-1)</f>
        <v/>
      </c>
      <c r="V68" s="32" t="str">
        <f aca="false">IF(OR(J68="",IF(R68&lt;&gt;"",R68,N68)=""),"",(IF(R68&lt;&gt;"",R68,N68)-J68)*100)</f>
        <v/>
      </c>
      <c r="W68" s="33" t="str">
        <f aca="false">IF(OR(K68="",IF(S68&lt;&gt;"",S68,O68)=""),"",K68-IF(S68&lt;&gt;"",S68,O68))</f>
        <v/>
      </c>
      <c r="X68" s="34" t="str">
        <f aca="false">IF(F68="","",IF(E68="Redirected (301)",IF(AA68="","Pending","Redirected – see target"),IF(OR(AA68="",H68=""),"Pending",IF(H68=0,IF(AA68&gt;0,"Win","Neutral"),IF(AA68&gt;=H68*(1+'How to use'!$C$15),"Win",IF(AA68&lt;=H68*(1+'How to use'!$C$16),"Loss","Neutral"))))))</f>
        <v/>
      </c>
      <c r="Y68" s="35" t="str">
        <f aca="false">IF(OR(F68="",C68=""),"",IF(P68&lt;&gt;"","Done",IF(L68&lt;&gt;"",C68+'How to use'!$C$19+'How to use'!$C$17,C68+'How to use'!$C$18+'How to use'!$C$17)))</f>
        <v/>
      </c>
      <c r="Z68" s="9"/>
      <c r="AA68" s="36" t="str">
        <f aca="false">IF(P68&lt;&gt;"",P68,IF(L68&lt;&gt;"",L68,""))</f>
        <v/>
      </c>
      <c r="AB68" s="36" t="str">
        <f aca="false">IF(Q68&lt;&gt;"",Q68,IF(M68&lt;&gt;"",M68,""))</f>
        <v/>
      </c>
    </row>
    <row r="69" customFormat="false" ht="15" hidden="false" customHeight="false" outlineLevel="0" collapsed="false">
      <c r="A69" s="9"/>
      <c r="B69" s="9"/>
      <c r="C69" s="26"/>
      <c r="D69" s="9"/>
      <c r="E69" s="9"/>
      <c r="F69" s="9"/>
      <c r="G69" s="27"/>
      <c r="H69" s="28"/>
      <c r="I69" s="28"/>
      <c r="J69" s="29" t="str">
        <f aca="false">IF(OR(H69="",I69="",I69=0),"",H69/I69)</f>
        <v/>
      </c>
      <c r="K69" s="30"/>
      <c r="L69" s="28"/>
      <c r="M69" s="28"/>
      <c r="N69" s="29" t="str">
        <f aca="false">IF(OR(L69="",M69="",M69=0),"",L69/M69)</f>
        <v/>
      </c>
      <c r="O69" s="30"/>
      <c r="P69" s="28"/>
      <c r="Q69" s="28"/>
      <c r="R69" s="29" t="str">
        <f aca="false">IF(OR(P69="",Q69="",Q69=0),"",P69/Q69)</f>
        <v/>
      </c>
      <c r="S69" s="30"/>
      <c r="T69" s="31" t="str">
        <f aca="false">IF(OR(AA69="",H69="",H69=0),"",AA69/H69-1)</f>
        <v/>
      </c>
      <c r="U69" s="31" t="str">
        <f aca="false">IF(OR(AB69="",I69="",I69=0),"",AB69/I69-1)</f>
        <v/>
      </c>
      <c r="V69" s="32" t="str">
        <f aca="false">IF(OR(J69="",IF(R69&lt;&gt;"",R69,N69)=""),"",(IF(R69&lt;&gt;"",R69,N69)-J69)*100)</f>
        <v/>
      </c>
      <c r="W69" s="33" t="str">
        <f aca="false">IF(OR(K69="",IF(S69&lt;&gt;"",S69,O69)=""),"",K69-IF(S69&lt;&gt;"",S69,O69))</f>
        <v/>
      </c>
      <c r="X69" s="34" t="str">
        <f aca="false">IF(F69="","",IF(E69="Redirected (301)",IF(AA69="","Pending","Redirected – see target"),IF(OR(AA69="",H69=""),"Pending",IF(H69=0,IF(AA69&gt;0,"Win","Neutral"),IF(AA69&gt;=H69*(1+'How to use'!$C$15),"Win",IF(AA69&lt;=H69*(1+'How to use'!$C$16),"Loss","Neutral"))))))</f>
        <v/>
      </c>
      <c r="Y69" s="35" t="str">
        <f aca="false">IF(OR(F69="",C69=""),"",IF(P69&lt;&gt;"","Done",IF(L69&lt;&gt;"",C69+'How to use'!$C$19+'How to use'!$C$17,C69+'How to use'!$C$18+'How to use'!$C$17)))</f>
        <v/>
      </c>
      <c r="Z69" s="9"/>
      <c r="AA69" s="36" t="str">
        <f aca="false">IF(P69&lt;&gt;"",P69,IF(L69&lt;&gt;"",L69,""))</f>
        <v/>
      </c>
      <c r="AB69" s="36" t="str">
        <f aca="false">IF(Q69&lt;&gt;"",Q69,IF(M69&lt;&gt;"",M69,""))</f>
        <v/>
      </c>
    </row>
    <row r="70" customFormat="false" ht="15" hidden="false" customHeight="false" outlineLevel="0" collapsed="false">
      <c r="A70" s="9"/>
      <c r="B70" s="9"/>
      <c r="C70" s="26"/>
      <c r="D70" s="9"/>
      <c r="E70" s="9"/>
      <c r="F70" s="9"/>
      <c r="G70" s="27"/>
      <c r="H70" s="28"/>
      <c r="I70" s="28"/>
      <c r="J70" s="29" t="str">
        <f aca="false">IF(OR(H70="",I70="",I70=0),"",H70/I70)</f>
        <v/>
      </c>
      <c r="K70" s="30"/>
      <c r="L70" s="28"/>
      <c r="M70" s="28"/>
      <c r="N70" s="29" t="str">
        <f aca="false">IF(OR(L70="",M70="",M70=0),"",L70/M70)</f>
        <v/>
      </c>
      <c r="O70" s="30"/>
      <c r="P70" s="28"/>
      <c r="Q70" s="28"/>
      <c r="R70" s="29" t="str">
        <f aca="false">IF(OR(P70="",Q70="",Q70=0),"",P70/Q70)</f>
        <v/>
      </c>
      <c r="S70" s="30"/>
      <c r="T70" s="31" t="str">
        <f aca="false">IF(OR(AA70="",H70="",H70=0),"",AA70/H70-1)</f>
        <v/>
      </c>
      <c r="U70" s="31" t="str">
        <f aca="false">IF(OR(AB70="",I70="",I70=0),"",AB70/I70-1)</f>
        <v/>
      </c>
      <c r="V70" s="32" t="str">
        <f aca="false">IF(OR(J70="",IF(R70&lt;&gt;"",R70,N70)=""),"",(IF(R70&lt;&gt;"",R70,N70)-J70)*100)</f>
        <v/>
      </c>
      <c r="W70" s="33" t="str">
        <f aca="false">IF(OR(K70="",IF(S70&lt;&gt;"",S70,O70)=""),"",K70-IF(S70&lt;&gt;"",S70,O70))</f>
        <v/>
      </c>
      <c r="X70" s="34" t="str">
        <f aca="false">IF(F70="","",IF(E70="Redirected (301)",IF(AA70="","Pending","Redirected – see target"),IF(OR(AA70="",H70=""),"Pending",IF(H70=0,IF(AA70&gt;0,"Win","Neutral"),IF(AA70&gt;=H70*(1+'How to use'!$C$15),"Win",IF(AA70&lt;=H70*(1+'How to use'!$C$16),"Loss","Neutral"))))))</f>
        <v/>
      </c>
      <c r="Y70" s="35" t="str">
        <f aca="false">IF(OR(F70="",C70=""),"",IF(P70&lt;&gt;"","Done",IF(L70&lt;&gt;"",C70+'How to use'!$C$19+'How to use'!$C$17,C70+'How to use'!$C$18+'How to use'!$C$17)))</f>
        <v/>
      </c>
      <c r="Z70" s="9"/>
      <c r="AA70" s="36" t="str">
        <f aca="false">IF(P70&lt;&gt;"",P70,IF(L70&lt;&gt;"",L70,""))</f>
        <v/>
      </c>
      <c r="AB70" s="36" t="str">
        <f aca="false">IF(Q70&lt;&gt;"",Q70,IF(M70&lt;&gt;"",M70,""))</f>
        <v/>
      </c>
    </row>
    <row r="71" customFormat="false" ht="15" hidden="false" customHeight="false" outlineLevel="0" collapsed="false">
      <c r="A71" s="9"/>
      <c r="B71" s="9"/>
      <c r="C71" s="26"/>
      <c r="D71" s="9"/>
      <c r="E71" s="9"/>
      <c r="F71" s="9"/>
      <c r="G71" s="27"/>
      <c r="H71" s="28"/>
      <c r="I71" s="28"/>
      <c r="J71" s="29" t="str">
        <f aca="false">IF(OR(H71="",I71="",I71=0),"",H71/I71)</f>
        <v/>
      </c>
      <c r="K71" s="30"/>
      <c r="L71" s="28"/>
      <c r="M71" s="28"/>
      <c r="N71" s="29" t="str">
        <f aca="false">IF(OR(L71="",M71="",M71=0),"",L71/M71)</f>
        <v/>
      </c>
      <c r="O71" s="30"/>
      <c r="P71" s="28"/>
      <c r="Q71" s="28"/>
      <c r="R71" s="29" t="str">
        <f aca="false">IF(OR(P71="",Q71="",Q71=0),"",P71/Q71)</f>
        <v/>
      </c>
      <c r="S71" s="30"/>
      <c r="T71" s="31" t="str">
        <f aca="false">IF(OR(AA71="",H71="",H71=0),"",AA71/H71-1)</f>
        <v/>
      </c>
      <c r="U71" s="31" t="str">
        <f aca="false">IF(OR(AB71="",I71="",I71=0),"",AB71/I71-1)</f>
        <v/>
      </c>
      <c r="V71" s="32" t="str">
        <f aca="false">IF(OR(J71="",IF(R71&lt;&gt;"",R71,N71)=""),"",(IF(R71&lt;&gt;"",R71,N71)-J71)*100)</f>
        <v/>
      </c>
      <c r="W71" s="33" t="str">
        <f aca="false">IF(OR(K71="",IF(S71&lt;&gt;"",S71,O71)=""),"",K71-IF(S71&lt;&gt;"",S71,O71))</f>
        <v/>
      </c>
      <c r="X71" s="34" t="str">
        <f aca="false">IF(F71="","",IF(E71="Redirected (301)",IF(AA71="","Pending","Redirected – see target"),IF(OR(AA71="",H71=""),"Pending",IF(H71=0,IF(AA71&gt;0,"Win","Neutral"),IF(AA71&gt;=H71*(1+'How to use'!$C$15),"Win",IF(AA71&lt;=H71*(1+'How to use'!$C$16),"Loss","Neutral"))))))</f>
        <v/>
      </c>
      <c r="Y71" s="35" t="str">
        <f aca="false">IF(OR(F71="",C71=""),"",IF(P71&lt;&gt;"","Done",IF(L71&lt;&gt;"",C71+'How to use'!$C$19+'How to use'!$C$17,C71+'How to use'!$C$18+'How to use'!$C$17)))</f>
        <v/>
      </c>
      <c r="Z71" s="9"/>
      <c r="AA71" s="36" t="str">
        <f aca="false">IF(P71&lt;&gt;"",P71,IF(L71&lt;&gt;"",L71,""))</f>
        <v/>
      </c>
      <c r="AB71" s="36" t="str">
        <f aca="false">IF(Q71&lt;&gt;"",Q71,IF(M71&lt;&gt;"",M71,""))</f>
        <v/>
      </c>
    </row>
    <row r="72" customFormat="false" ht="15" hidden="false" customHeight="false" outlineLevel="0" collapsed="false">
      <c r="A72" s="9"/>
      <c r="B72" s="9"/>
      <c r="C72" s="26"/>
      <c r="D72" s="9"/>
      <c r="E72" s="9"/>
      <c r="F72" s="9"/>
      <c r="G72" s="27"/>
      <c r="H72" s="28"/>
      <c r="I72" s="28"/>
      <c r="J72" s="29" t="str">
        <f aca="false">IF(OR(H72="",I72="",I72=0),"",H72/I72)</f>
        <v/>
      </c>
      <c r="K72" s="30"/>
      <c r="L72" s="28"/>
      <c r="M72" s="28"/>
      <c r="N72" s="29" t="str">
        <f aca="false">IF(OR(L72="",M72="",M72=0),"",L72/M72)</f>
        <v/>
      </c>
      <c r="O72" s="30"/>
      <c r="P72" s="28"/>
      <c r="Q72" s="28"/>
      <c r="R72" s="29" t="str">
        <f aca="false">IF(OR(P72="",Q72="",Q72=0),"",P72/Q72)</f>
        <v/>
      </c>
      <c r="S72" s="30"/>
      <c r="T72" s="31" t="str">
        <f aca="false">IF(OR(AA72="",H72="",H72=0),"",AA72/H72-1)</f>
        <v/>
      </c>
      <c r="U72" s="31" t="str">
        <f aca="false">IF(OR(AB72="",I72="",I72=0),"",AB72/I72-1)</f>
        <v/>
      </c>
      <c r="V72" s="32" t="str">
        <f aca="false">IF(OR(J72="",IF(R72&lt;&gt;"",R72,N72)=""),"",(IF(R72&lt;&gt;"",R72,N72)-J72)*100)</f>
        <v/>
      </c>
      <c r="W72" s="33" t="str">
        <f aca="false">IF(OR(K72="",IF(S72&lt;&gt;"",S72,O72)=""),"",K72-IF(S72&lt;&gt;"",S72,O72))</f>
        <v/>
      </c>
      <c r="X72" s="34" t="str">
        <f aca="false">IF(F72="","",IF(E72="Redirected (301)",IF(AA72="","Pending","Redirected – see target"),IF(OR(AA72="",H72=""),"Pending",IF(H72=0,IF(AA72&gt;0,"Win","Neutral"),IF(AA72&gt;=H72*(1+'How to use'!$C$15),"Win",IF(AA72&lt;=H72*(1+'How to use'!$C$16),"Loss","Neutral"))))))</f>
        <v/>
      </c>
      <c r="Y72" s="35" t="str">
        <f aca="false">IF(OR(F72="",C72=""),"",IF(P72&lt;&gt;"","Done",IF(L72&lt;&gt;"",C72+'How to use'!$C$19+'How to use'!$C$17,C72+'How to use'!$C$18+'How to use'!$C$17)))</f>
        <v/>
      </c>
      <c r="Z72" s="9"/>
      <c r="AA72" s="36" t="str">
        <f aca="false">IF(P72&lt;&gt;"",P72,IF(L72&lt;&gt;"",L72,""))</f>
        <v/>
      </c>
      <c r="AB72" s="36" t="str">
        <f aca="false">IF(Q72&lt;&gt;"",Q72,IF(M72&lt;&gt;"",M72,""))</f>
        <v/>
      </c>
    </row>
    <row r="73" customFormat="false" ht="15" hidden="false" customHeight="false" outlineLevel="0" collapsed="false">
      <c r="A73" s="9"/>
      <c r="B73" s="9"/>
      <c r="C73" s="26"/>
      <c r="D73" s="9"/>
      <c r="E73" s="9"/>
      <c r="F73" s="9"/>
      <c r="G73" s="27"/>
      <c r="H73" s="28"/>
      <c r="I73" s="28"/>
      <c r="J73" s="29" t="str">
        <f aca="false">IF(OR(H73="",I73="",I73=0),"",H73/I73)</f>
        <v/>
      </c>
      <c r="K73" s="30"/>
      <c r="L73" s="28"/>
      <c r="M73" s="28"/>
      <c r="N73" s="29" t="str">
        <f aca="false">IF(OR(L73="",M73="",M73=0),"",L73/M73)</f>
        <v/>
      </c>
      <c r="O73" s="30"/>
      <c r="P73" s="28"/>
      <c r="Q73" s="28"/>
      <c r="R73" s="29" t="str">
        <f aca="false">IF(OR(P73="",Q73="",Q73=0),"",P73/Q73)</f>
        <v/>
      </c>
      <c r="S73" s="30"/>
      <c r="T73" s="31" t="str">
        <f aca="false">IF(OR(AA73="",H73="",H73=0),"",AA73/H73-1)</f>
        <v/>
      </c>
      <c r="U73" s="31" t="str">
        <f aca="false">IF(OR(AB73="",I73="",I73=0),"",AB73/I73-1)</f>
        <v/>
      </c>
      <c r="V73" s="32" t="str">
        <f aca="false">IF(OR(J73="",IF(R73&lt;&gt;"",R73,N73)=""),"",(IF(R73&lt;&gt;"",R73,N73)-J73)*100)</f>
        <v/>
      </c>
      <c r="W73" s="33" t="str">
        <f aca="false">IF(OR(K73="",IF(S73&lt;&gt;"",S73,O73)=""),"",K73-IF(S73&lt;&gt;"",S73,O73))</f>
        <v/>
      </c>
      <c r="X73" s="34" t="str">
        <f aca="false">IF(F73="","",IF(E73="Redirected (301)",IF(AA73="","Pending","Redirected – see target"),IF(OR(AA73="",H73=""),"Pending",IF(H73=0,IF(AA73&gt;0,"Win","Neutral"),IF(AA73&gt;=H73*(1+'How to use'!$C$15),"Win",IF(AA73&lt;=H73*(1+'How to use'!$C$16),"Loss","Neutral"))))))</f>
        <v/>
      </c>
      <c r="Y73" s="35" t="str">
        <f aca="false">IF(OR(F73="",C73=""),"",IF(P73&lt;&gt;"","Done",IF(L73&lt;&gt;"",C73+'How to use'!$C$19+'How to use'!$C$17,C73+'How to use'!$C$18+'How to use'!$C$17)))</f>
        <v/>
      </c>
      <c r="Z73" s="9"/>
      <c r="AA73" s="36" t="str">
        <f aca="false">IF(P73&lt;&gt;"",P73,IF(L73&lt;&gt;"",L73,""))</f>
        <v/>
      </c>
      <c r="AB73" s="36" t="str">
        <f aca="false">IF(Q73&lt;&gt;"",Q73,IF(M73&lt;&gt;"",M73,""))</f>
        <v/>
      </c>
    </row>
    <row r="74" customFormat="false" ht="15" hidden="false" customHeight="false" outlineLevel="0" collapsed="false">
      <c r="A74" s="9"/>
      <c r="B74" s="9"/>
      <c r="C74" s="26"/>
      <c r="D74" s="9"/>
      <c r="E74" s="9"/>
      <c r="F74" s="9"/>
      <c r="G74" s="27"/>
      <c r="H74" s="28"/>
      <c r="I74" s="28"/>
      <c r="J74" s="29" t="str">
        <f aca="false">IF(OR(H74="",I74="",I74=0),"",H74/I74)</f>
        <v/>
      </c>
      <c r="K74" s="30"/>
      <c r="L74" s="28"/>
      <c r="M74" s="28"/>
      <c r="N74" s="29" t="str">
        <f aca="false">IF(OR(L74="",M74="",M74=0),"",L74/M74)</f>
        <v/>
      </c>
      <c r="O74" s="30"/>
      <c r="P74" s="28"/>
      <c r="Q74" s="28"/>
      <c r="R74" s="29" t="str">
        <f aca="false">IF(OR(P74="",Q74="",Q74=0),"",P74/Q74)</f>
        <v/>
      </c>
      <c r="S74" s="30"/>
      <c r="T74" s="31" t="str">
        <f aca="false">IF(OR(AA74="",H74="",H74=0),"",AA74/H74-1)</f>
        <v/>
      </c>
      <c r="U74" s="31" t="str">
        <f aca="false">IF(OR(AB74="",I74="",I74=0),"",AB74/I74-1)</f>
        <v/>
      </c>
      <c r="V74" s="32" t="str">
        <f aca="false">IF(OR(J74="",IF(R74&lt;&gt;"",R74,N74)=""),"",(IF(R74&lt;&gt;"",R74,N74)-J74)*100)</f>
        <v/>
      </c>
      <c r="W74" s="33" t="str">
        <f aca="false">IF(OR(K74="",IF(S74&lt;&gt;"",S74,O74)=""),"",K74-IF(S74&lt;&gt;"",S74,O74))</f>
        <v/>
      </c>
      <c r="X74" s="34" t="str">
        <f aca="false">IF(F74="","",IF(E74="Redirected (301)",IF(AA74="","Pending","Redirected – see target"),IF(OR(AA74="",H74=""),"Pending",IF(H74=0,IF(AA74&gt;0,"Win","Neutral"),IF(AA74&gt;=H74*(1+'How to use'!$C$15),"Win",IF(AA74&lt;=H74*(1+'How to use'!$C$16),"Loss","Neutral"))))))</f>
        <v/>
      </c>
      <c r="Y74" s="35" t="str">
        <f aca="false">IF(OR(F74="",C74=""),"",IF(P74&lt;&gt;"","Done",IF(L74&lt;&gt;"",C74+'How to use'!$C$19+'How to use'!$C$17,C74+'How to use'!$C$18+'How to use'!$C$17)))</f>
        <v/>
      </c>
      <c r="Z74" s="9"/>
      <c r="AA74" s="36" t="str">
        <f aca="false">IF(P74&lt;&gt;"",P74,IF(L74&lt;&gt;"",L74,""))</f>
        <v/>
      </c>
      <c r="AB74" s="36" t="str">
        <f aca="false">IF(Q74&lt;&gt;"",Q74,IF(M74&lt;&gt;"",M74,""))</f>
        <v/>
      </c>
    </row>
    <row r="75" customFormat="false" ht="15" hidden="false" customHeight="false" outlineLevel="0" collapsed="false">
      <c r="A75" s="9"/>
      <c r="B75" s="9"/>
      <c r="C75" s="26"/>
      <c r="D75" s="9"/>
      <c r="E75" s="9"/>
      <c r="F75" s="9"/>
      <c r="G75" s="27"/>
      <c r="H75" s="28"/>
      <c r="I75" s="28"/>
      <c r="J75" s="29" t="str">
        <f aca="false">IF(OR(H75="",I75="",I75=0),"",H75/I75)</f>
        <v/>
      </c>
      <c r="K75" s="30"/>
      <c r="L75" s="28"/>
      <c r="M75" s="28"/>
      <c r="N75" s="29" t="str">
        <f aca="false">IF(OR(L75="",M75="",M75=0),"",L75/M75)</f>
        <v/>
      </c>
      <c r="O75" s="30"/>
      <c r="P75" s="28"/>
      <c r="Q75" s="28"/>
      <c r="R75" s="29" t="str">
        <f aca="false">IF(OR(P75="",Q75="",Q75=0),"",P75/Q75)</f>
        <v/>
      </c>
      <c r="S75" s="30"/>
      <c r="T75" s="31" t="str">
        <f aca="false">IF(OR(AA75="",H75="",H75=0),"",AA75/H75-1)</f>
        <v/>
      </c>
      <c r="U75" s="31" t="str">
        <f aca="false">IF(OR(AB75="",I75="",I75=0),"",AB75/I75-1)</f>
        <v/>
      </c>
      <c r="V75" s="32" t="str">
        <f aca="false">IF(OR(J75="",IF(R75&lt;&gt;"",R75,N75)=""),"",(IF(R75&lt;&gt;"",R75,N75)-J75)*100)</f>
        <v/>
      </c>
      <c r="W75" s="33" t="str">
        <f aca="false">IF(OR(K75="",IF(S75&lt;&gt;"",S75,O75)=""),"",K75-IF(S75&lt;&gt;"",S75,O75))</f>
        <v/>
      </c>
      <c r="X75" s="34" t="str">
        <f aca="false">IF(F75="","",IF(E75="Redirected (301)",IF(AA75="","Pending","Redirected – see target"),IF(OR(AA75="",H75=""),"Pending",IF(H75=0,IF(AA75&gt;0,"Win","Neutral"),IF(AA75&gt;=H75*(1+'How to use'!$C$15),"Win",IF(AA75&lt;=H75*(1+'How to use'!$C$16),"Loss","Neutral"))))))</f>
        <v/>
      </c>
      <c r="Y75" s="35" t="str">
        <f aca="false">IF(OR(F75="",C75=""),"",IF(P75&lt;&gt;"","Done",IF(L75&lt;&gt;"",C75+'How to use'!$C$19+'How to use'!$C$17,C75+'How to use'!$C$18+'How to use'!$C$17)))</f>
        <v/>
      </c>
      <c r="Z75" s="9"/>
      <c r="AA75" s="36" t="str">
        <f aca="false">IF(P75&lt;&gt;"",P75,IF(L75&lt;&gt;"",L75,""))</f>
        <v/>
      </c>
      <c r="AB75" s="36" t="str">
        <f aca="false">IF(Q75&lt;&gt;"",Q75,IF(M75&lt;&gt;"",M75,""))</f>
        <v/>
      </c>
    </row>
    <row r="76" customFormat="false" ht="15" hidden="false" customHeight="false" outlineLevel="0" collapsed="false">
      <c r="A76" s="9"/>
      <c r="B76" s="9"/>
      <c r="C76" s="26"/>
      <c r="D76" s="9"/>
      <c r="E76" s="9"/>
      <c r="F76" s="9"/>
      <c r="G76" s="27"/>
      <c r="H76" s="28"/>
      <c r="I76" s="28"/>
      <c r="J76" s="29" t="str">
        <f aca="false">IF(OR(H76="",I76="",I76=0),"",H76/I76)</f>
        <v/>
      </c>
      <c r="K76" s="30"/>
      <c r="L76" s="28"/>
      <c r="M76" s="28"/>
      <c r="N76" s="29" t="str">
        <f aca="false">IF(OR(L76="",M76="",M76=0),"",L76/M76)</f>
        <v/>
      </c>
      <c r="O76" s="30"/>
      <c r="P76" s="28"/>
      <c r="Q76" s="28"/>
      <c r="R76" s="29" t="str">
        <f aca="false">IF(OR(P76="",Q76="",Q76=0),"",P76/Q76)</f>
        <v/>
      </c>
      <c r="S76" s="30"/>
      <c r="T76" s="31" t="str">
        <f aca="false">IF(OR(AA76="",H76="",H76=0),"",AA76/H76-1)</f>
        <v/>
      </c>
      <c r="U76" s="31" t="str">
        <f aca="false">IF(OR(AB76="",I76="",I76=0),"",AB76/I76-1)</f>
        <v/>
      </c>
      <c r="V76" s="32" t="str">
        <f aca="false">IF(OR(J76="",IF(R76&lt;&gt;"",R76,N76)=""),"",(IF(R76&lt;&gt;"",R76,N76)-J76)*100)</f>
        <v/>
      </c>
      <c r="W76" s="33" t="str">
        <f aca="false">IF(OR(K76="",IF(S76&lt;&gt;"",S76,O76)=""),"",K76-IF(S76&lt;&gt;"",S76,O76))</f>
        <v/>
      </c>
      <c r="X76" s="34" t="str">
        <f aca="false">IF(F76="","",IF(E76="Redirected (301)",IF(AA76="","Pending","Redirected – see target"),IF(OR(AA76="",H76=""),"Pending",IF(H76=0,IF(AA76&gt;0,"Win","Neutral"),IF(AA76&gt;=H76*(1+'How to use'!$C$15),"Win",IF(AA76&lt;=H76*(1+'How to use'!$C$16),"Loss","Neutral"))))))</f>
        <v/>
      </c>
      <c r="Y76" s="35" t="str">
        <f aca="false">IF(OR(F76="",C76=""),"",IF(P76&lt;&gt;"","Done",IF(L76&lt;&gt;"",C76+'How to use'!$C$19+'How to use'!$C$17,C76+'How to use'!$C$18+'How to use'!$C$17)))</f>
        <v/>
      </c>
      <c r="Z76" s="9"/>
      <c r="AA76" s="36" t="str">
        <f aca="false">IF(P76&lt;&gt;"",P76,IF(L76&lt;&gt;"",L76,""))</f>
        <v/>
      </c>
      <c r="AB76" s="36" t="str">
        <f aca="false">IF(Q76&lt;&gt;"",Q76,IF(M76&lt;&gt;"",M76,""))</f>
        <v/>
      </c>
    </row>
    <row r="77" customFormat="false" ht="15" hidden="false" customHeight="false" outlineLevel="0" collapsed="false">
      <c r="A77" s="9"/>
      <c r="B77" s="9"/>
      <c r="C77" s="26"/>
      <c r="D77" s="9"/>
      <c r="E77" s="9"/>
      <c r="F77" s="9"/>
      <c r="G77" s="27"/>
      <c r="H77" s="28"/>
      <c r="I77" s="28"/>
      <c r="J77" s="29" t="str">
        <f aca="false">IF(OR(H77="",I77="",I77=0),"",H77/I77)</f>
        <v/>
      </c>
      <c r="K77" s="30"/>
      <c r="L77" s="28"/>
      <c r="M77" s="28"/>
      <c r="N77" s="29" t="str">
        <f aca="false">IF(OR(L77="",M77="",M77=0),"",L77/M77)</f>
        <v/>
      </c>
      <c r="O77" s="30"/>
      <c r="P77" s="28"/>
      <c r="Q77" s="28"/>
      <c r="R77" s="29" t="str">
        <f aca="false">IF(OR(P77="",Q77="",Q77=0),"",P77/Q77)</f>
        <v/>
      </c>
      <c r="S77" s="30"/>
      <c r="T77" s="31" t="str">
        <f aca="false">IF(OR(AA77="",H77="",H77=0),"",AA77/H77-1)</f>
        <v/>
      </c>
      <c r="U77" s="31" t="str">
        <f aca="false">IF(OR(AB77="",I77="",I77=0),"",AB77/I77-1)</f>
        <v/>
      </c>
      <c r="V77" s="32" t="str">
        <f aca="false">IF(OR(J77="",IF(R77&lt;&gt;"",R77,N77)=""),"",(IF(R77&lt;&gt;"",R77,N77)-J77)*100)</f>
        <v/>
      </c>
      <c r="W77" s="33" t="str">
        <f aca="false">IF(OR(K77="",IF(S77&lt;&gt;"",S77,O77)=""),"",K77-IF(S77&lt;&gt;"",S77,O77))</f>
        <v/>
      </c>
      <c r="X77" s="34" t="str">
        <f aca="false">IF(F77="","",IF(E77="Redirected (301)",IF(AA77="","Pending","Redirected – see target"),IF(OR(AA77="",H77=""),"Pending",IF(H77=0,IF(AA77&gt;0,"Win","Neutral"),IF(AA77&gt;=H77*(1+'How to use'!$C$15),"Win",IF(AA77&lt;=H77*(1+'How to use'!$C$16),"Loss","Neutral"))))))</f>
        <v/>
      </c>
      <c r="Y77" s="35" t="str">
        <f aca="false">IF(OR(F77="",C77=""),"",IF(P77&lt;&gt;"","Done",IF(L77&lt;&gt;"",C77+'How to use'!$C$19+'How to use'!$C$17,C77+'How to use'!$C$18+'How to use'!$C$17)))</f>
        <v/>
      </c>
      <c r="Z77" s="9"/>
      <c r="AA77" s="36" t="str">
        <f aca="false">IF(P77&lt;&gt;"",P77,IF(L77&lt;&gt;"",L77,""))</f>
        <v/>
      </c>
      <c r="AB77" s="36" t="str">
        <f aca="false">IF(Q77&lt;&gt;"",Q77,IF(M77&lt;&gt;"",M77,""))</f>
        <v/>
      </c>
    </row>
    <row r="78" customFormat="false" ht="15" hidden="false" customHeight="false" outlineLevel="0" collapsed="false">
      <c r="A78" s="9"/>
      <c r="B78" s="9"/>
      <c r="C78" s="26"/>
      <c r="D78" s="9"/>
      <c r="E78" s="9"/>
      <c r="F78" s="9"/>
      <c r="G78" s="27"/>
      <c r="H78" s="28"/>
      <c r="I78" s="28"/>
      <c r="J78" s="29" t="str">
        <f aca="false">IF(OR(H78="",I78="",I78=0),"",H78/I78)</f>
        <v/>
      </c>
      <c r="K78" s="30"/>
      <c r="L78" s="28"/>
      <c r="M78" s="28"/>
      <c r="N78" s="29" t="str">
        <f aca="false">IF(OR(L78="",M78="",M78=0),"",L78/M78)</f>
        <v/>
      </c>
      <c r="O78" s="30"/>
      <c r="P78" s="28"/>
      <c r="Q78" s="28"/>
      <c r="R78" s="29" t="str">
        <f aca="false">IF(OR(P78="",Q78="",Q78=0),"",P78/Q78)</f>
        <v/>
      </c>
      <c r="S78" s="30"/>
      <c r="T78" s="31" t="str">
        <f aca="false">IF(OR(AA78="",H78="",H78=0),"",AA78/H78-1)</f>
        <v/>
      </c>
      <c r="U78" s="31" t="str">
        <f aca="false">IF(OR(AB78="",I78="",I78=0),"",AB78/I78-1)</f>
        <v/>
      </c>
      <c r="V78" s="32" t="str">
        <f aca="false">IF(OR(J78="",IF(R78&lt;&gt;"",R78,N78)=""),"",(IF(R78&lt;&gt;"",R78,N78)-J78)*100)</f>
        <v/>
      </c>
      <c r="W78" s="33" t="str">
        <f aca="false">IF(OR(K78="",IF(S78&lt;&gt;"",S78,O78)=""),"",K78-IF(S78&lt;&gt;"",S78,O78))</f>
        <v/>
      </c>
      <c r="X78" s="34" t="str">
        <f aca="false">IF(F78="","",IF(E78="Redirected (301)",IF(AA78="","Pending","Redirected – see target"),IF(OR(AA78="",H78=""),"Pending",IF(H78=0,IF(AA78&gt;0,"Win","Neutral"),IF(AA78&gt;=H78*(1+'How to use'!$C$15),"Win",IF(AA78&lt;=H78*(1+'How to use'!$C$16),"Loss","Neutral"))))))</f>
        <v/>
      </c>
      <c r="Y78" s="35" t="str">
        <f aca="false">IF(OR(F78="",C78=""),"",IF(P78&lt;&gt;"","Done",IF(L78&lt;&gt;"",C78+'How to use'!$C$19+'How to use'!$C$17,C78+'How to use'!$C$18+'How to use'!$C$17)))</f>
        <v/>
      </c>
      <c r="Z78" s="9"/>
      <c r="AA78" s="36" t="str">
        <f aca="false">IF(P78&lt;&gt;"",P78,IF(L78&lt;&gt;"",L78,""))</f>
        <v/>
      </c>
      <c r="AB78" s="36" t="str">
        <f aca="false">IF(Q78&lt;&gt;"",Q78,IF(M78&lt;&gt;"",M78,""))</f>
        <v/>
      </c>
    </row>
    <row r="79" customFormat="false" ht="15" hidden="false" customHeight="false" outlineLevel="0" collapsed="false">
      <c r="A79" s="9"/>
      <c r="B79" s="9"/>
      <c r="C79" s="26"/>
      <c r="D79" s="9"/>
      <c r="E79" s="9"/>
      <c r="F79" s="9"/>
      <c r="G79" s="27"/>
      <c r="H79" s="28"/>
      <c r="I79" s="28"/>
      <c r="J79" s="29" t="str">
        <f aca="false">IF(OR(H79="",I79="",I79=0),"",H79/I79)</f>
        <v/>
      </c>
      <c r="K79" s="30"/>
      <c r="L79" s="28"/>
      <c r="M79" s="28"/>
      <c r="N79" s="29" t="str">
        <f aca="false">IF(OR(L79="",M79="",M79=0),"",L79/M79)</f>
        <v/>
      </c>
      <c r="O79" s="30"/>
      <c r="P79" s="28"/>
      <c r="Q79" s="28"/>
      <c r="R79" s="29" t="str">
        <f aca="false">IF(OR(P79="",Q79="",Q79=0),"",P79/Q79)</f>
        <v/>
      </c>
      <c r="S79" s="30"/>
      <c r="T79" s="31" t="str">
        <f aca="false">IF(OR(AA79="",H79="",H79=0),"",AA79/H79-1)</f>
        <v/>
      </c>
      <c r="U79" s="31" t="str">
        <f aca="false">IF(OR(AB79="",I79="",I79=0),"",AB79/I79-1)</f>
        <v/>
      </c>
      <c r="V79" s="32" t="str">
        <f aca="false">IF(OR(J79="",IF(R79&lt;&gt;"",R79,N79)=""),"",(IF(R79&lt;&gt;"",R79,N79)-J79)*100)</f>
        <v/>
      </c>
      <c r="W79" s="33" t="str">
        <f aca="false">IF(OR(K79="",IF(S79&lt;&gt;"",S79,O79)=""),"",K79-IF(S79&lt;&gt;"",S79,O79))</f>
        <v/>
      </c>
      <c r="X79" s="34" t="str">
        <f aca="false">IF(F79="","",IF(E79="Redirected (301)",IF(AA79="","Pending","Redirected – see target"),IF(OR(AA79="",H79=""),"Pending",IF(H79=0,IF(AA79&gt;0,"Win","Neutral"),IF(AA79&gt;=H79*(1+'How to use'!$C$15),"Win",IF(AA79&lt;=H79*(1+'How to use'!$C$16),"Loss","Neutral"))))))</f>
        <v/>
      </c>
      <c r="Y79" s="35" t="str">
        <f aca="false">IF(OR(F79="",C79=""),"",IF(P79&lt;&gt;"","Done",IF(L79&lt;&gt;"",C79+'How to use'!$C$19+'How to use'!$C$17,C79+'How to use'!$C$18+'How to use'!$C$17)))</f>
        <v/>
      </c>
      <c r="Z79" s="9"/>
      <c r="AA79" s="36" t="str">
        <f aca="false">IF(P79&lt;&gt;"",P79,IF(L79&lt;&gt;"",L79,""))</f>
        <v/>
      </c>
      <c r="AB79" s="36" t="str">
        <f aca="false">IF(Q79&lt;&gt;"",Q79,IF(M79&lt;&gt;"",M79,""))</f>
        <v/>
      </c>
    </row>
    <row r="80" customFormat="false" ht="15" hidden="false" customHeight="false" outlineLevel="0" collapsed="false">
      <c r="A80" s="9"/>
      <c r="B80" s="9"/>
      <c r="C80" s="26"/>
      <c r="D80" s="9"/>
      <c r="E80" s="9"/>
      <c r="F80" s="9"/>
      <c r="G80" s="27"/>
      <c r="H80" s="28"/>
      <c r="I80" s="28"/>
      <c r="J80" s="29" t="str">
        <f aca="false">IF(OR(H80="",I80="",I80=0),"",H80/I80)</f>
        <v/>
      </c>
      <c r="K80" s="30"/>
      <c r="L80" s="28"/>
      <c r="M80" s="28"/>
      <c r="N80" s="29" t="str">
        <f aca="false">IF(OR(L80="",M80="",M80=0),"",L80/M80)</f>
        <v/>
      </c>
      <c r="O80" s="30"/>
      <c r="P80" s="28"/>
      <c r="Q80" s="28"/>
      <c r="R80" s="29" t="str">
        <f aca="false">IF(OR(P80="",Q80="",Q80=0),"",P80/Q80)</f>
        <v/>
      </c>
      <c r="S80" s="30"/>
      <c r="T80" s="31" t="str">
        <f aca="false">IF(OR(AA80="",H80="",H80=0),"",AA80/H80-1)</f>
        <v/>
      </c>
      <c r="U80" s="31" t="str">
        <f aca="false">IF(OR(AB80="",I80="",I80=0),"",AB80/I80-1)</f>
        <v/>
      </c>
      <c r="V80" s="32" t="str">
        <f aca="false">IF(OR(J80="",IF(R80&lt;&gt;"",R80,N80)=""),"",(IF(R80&lt;&gt;"",R80,N80)-J80)*100)</f>
        <v/>
      </c>
      <c r="W80" s="33" t="str">
        <f aca="false">IF(OR(K80="",IF(S80&lt;&gt;"",S80,O80)=""),"",K80-IF(S80&lt;&gt;"",S80,O80))</f>
        <v/>
      </c>
      <c r="X80" s="34" t="str">
        <f aca="false">IF(F80="","",IF(E80="Redirected (301)",IF(AA80="","Pending","Redirected – see target"),IF(OR(AA80="",H80=""),"Pending",IF(H80=0,IF(AA80&gt;0,"Win","Neutral"),IF(AA80&gt;=H80*(1+'How to use'!$C$15),"Win",IF(AA80&lt;=H80*(1+'How to use'!$C$16),"Loss","Neutral"))))))</f>
        <v/>
      </c>
      <c r="Y80" s="35" t="str">
        <f aca="false">IF(OR(F80="",C80=""),"",IF(P80&lt;&gt;"","Done",IF(L80&lt;&gt;"",C80+'How to use'!$C$19+'How to use'!$C$17,C80+'How to use'!$C$18+'How to use'!$C$17)))</f>
        <v/>
      </c>
      <c r="Z80" s="9"/>
      <c r="AA80" s="36" t="str">
        <f aca="false">IF(P80&lt;&gt;"",P80,IF(L80&lt;&gt;"",L80,""))</f>
        <v/>
      </c>
      <c r="AB80" s="36" t="str">
        <f aca="false">IF(Q80&lt;&gt;"",Q80,IF(M80&lt;&gt;"",M80,""))</f>
        <v/>
      </c>
    </row>
    <row r="81" customFormat="false" ht="15" hidden="false" customHeight="false" outlineLevel="0" collapsed="false">
      <c r="A81" s="9"/>
      <c r="B81" s="9"/>
      <c r="C81" s="26"/>
      <c r="D81" s="9"/>
      <c r="E81" s="9"/>
      <c r="F81" s="9"/>
      <c r="G81" s="27"/>
      <c r="H81" s="28"/>
      <c r="I81" s="28"/>
      <c r="J81" s="29" t="str">
        <f aca="false">IF(OR(H81="",I81="",I81=0),"",H81/I81)</f>
        <v/>
      </c>
      <c r="K81" s="30"/>
      <c r="L81" s="28"/>
      <c r="M81" s="28"/>
      <c r="N81" s="29" t="str">
        <f aca="false">IF(OR(L81="",M81="",M81=0),"",L81/M81)</f>
        <v/>
      </c>
      <c r="O81" s="30"/>
      <c r="P81" s="28"/>
      <c r="Q81" s="28"/>
      <c r="R81" s="29" t="str">
        <f aca="false">IF(OR(P81="",Q81="",Q81=0),"",P81/Q81)</f>
        <v/>
      </c>
      <c r="S81" s="30"/>
      <c r="T81" s="31" t="str">
        <f aca="false">IF(OR(AA81="",H81="",H81=0),"",AA81/H81-1)</f>
        <v/>
      </c>
      <c r="U81" s="31" t="str">
        <f aca="false">IF(OR(AB81="",I81="",I81=0),"",AB81/I81-1)</f>
        <v/>
      </c>
      <c r="V81" s="32" t="str">
        <f aca="false">IF(OR(J81="",IF(R81&lt;&gt;"",R81,N81)=""),"",(IF(R81&lt;&gt;"",R81,N81)-J81)*100)</f>
        <v/>
      </c>
      <c r="W81" s="33" t="str">
        <f aca="false">IF(OR(K81="",IF(S81&lt;&gt;"",S81,O81)=""),"",K81-IF(S81&lt;&gt;"",S81,O81))</f>
        <v/>
      </c>
      <c r="X81" s="34" t="str">
        <f aca="false">IF(F81="","",IF(E81="Redirected (301)",IF(AA81="","Pending","Redirected – see target"),IF(OR(AA81="",H81=""),"Pending",IF(H81=0,IF(AA81&gt;0,"Win","Neutral"),IF(AA81&gt;=H81*(1+'How to use'!$C$15),"Win",IF(AA81&lt;=H81*(1+'How to use'!$C$16),"Loss","Neutral"))))))</f>
        <v/>
      </c>
      <c r="Y81" s="35" t="str">
        <f aca="false">IF(OR(F81="",C81=""),"",IF(P81&lt;&gt;"","Done",IF(L81&lt;&gt;"",C81+'How to use'!$C$19+'How to use'!$C$17,C81+'How to use'!$C$18+'How to use'!$C$17)))</f>
        <v/>
      </c>
      <c r="Z81" s="9"/>
      <c r="AA81" s="36" t="str">
        <f aca="false">IF(P81&lt;&gt;"",P81,IF(L81&lt;&gt;"",L81,""))</f>
        <v/>
      </c>
      <c r="AB81" s="36" t="str">
        <f aca="false">IF(Q81&lt;&gt;"",Q81,IF(M81&lt;&gt;"",M81,""))</f>
        <v/>
      </c>
    </row>
    <row r="82" customFormat="false" ht="15" hidden="false" customHeight="false" outlineLevel="0" collapsed="false">
      <c r="A82" s="9"/>
      <c r="B82" s="9"/>
      <c r="C82" s="26"/>
      <c r="D82" s="9"/>
      <c r="E82" s="9"/>
      <c r="F82" s="9"/>
      <c r="G82" s="27"/>
      <c r="H82" s="28"/>
      <c r="I82" s="28"/>
      <c r="J82" s="29" t="str">
        <f aca="false">IF(OR(H82="",I82="",I82=0),"",H82/I82)</f>
        <v/>
      </c>
      <c r="K82" s="30"/>
      <c r="L82" s="28"/>
      <c r="M82" s="28"/>
      <c r="N82" s="29" t="str">
        <f aca="false">IF(OR(L82="",M82="",M82=0),"",L82/M82)</f>
        <v/>
      </c>
      <c r="O82" s="30"/>
      <c r="P82" s="28"/>
      <c r="Q82" s="28"/>
      <c r="R82" s="29" t="str">
        <f aca="false">IF(OR(P82="",Q82="",Q82=0),"",P82/Q82)</f>
        <v/>
      </c>
      <c r="S82" s="30"/>
      <c r="T82" s="31" t="str">
        <f aca="false">IF(OR(AA82="",H82="",H82=0),"",AA82/H82-1)</f>
        <v/>
      </c>
      <c r="U82" s="31" t="str">
        <f aca="false">IF(OR(AB82="",I82="",I82=0),"",AB82/I82-1)</f>
        <v/>
      </c>
      <c r="V82" s="32" t="str">
        <f aca="false">IF(OR(J82="",IF(R82&lt;&gt;"",R82,N82)=""),"",(IF(R82&lt;&gt;"",R82,N82)-J82)*100)</f>
        <v/>
      </c>
      <c r="W82" s="33" t="str">
        <f aca="false">IF(OR(K82="",IF(S82&lt;&gt;"",S82,O82)=""),"",K82-IF(S82&lt;&gt;"",S82,O82))</f>
        <v/>
      </c>
      <c r="X82" s="34" t="str">
        <f aca="false">IF(F82="","",IF(E82="Redirected (301)",IF(AA82="","Pending","Redirected – see target"),IF(OR(AA82="",H82=""),"Pending",IF(H82=0,IF(AA82&gt;0,"Win","Neutral"),IF(AA82&gt;=H82*(1+'How to use'!$C$15),"Win",IF(AA82&lt;=H82*(1+'How to use'!$C$16),"Loss","Neutral"))))))</f>
        <v/>
      </c>
      <c r="Y82" s="35" t="str">
        <f aca="false">IF(OR(F82="",C82=""),"",IF(P82&lt;&gt;"","Done",IF(L82&lt;&gt;"",C82+'How to use'!$C$19+'How to use'!$C$17,C82+'How to use'!$C$18+'How to use'!$C$17)))</f>
        <v/>
      </c>
      <c r="Z82" s="9"/>
      <c r="AA82" s="36" t="str">
        <f aca="false">IF(P82&lt;&gt;"",P82,IF(L82&lt;&gt;"",L82,""))</f>
        <v/>
      </c>
      <c r="AB82" s="36" t="str">
        <f aca="false">IF(Q82&lt;&gt;"",Q82,IF(M82&lt;&gt;"",M82,""))</f>
        <v/>
      </c>
    </row>
    <row r="83" customFormat="false" ht="15" hidden="false" customHeight="false" outlineLevel="0" collapsed="false">
      <c r="A83" s="9"/>
      <c r="B83" s="9"/>
      <c r="C83" s="26"/>
      <c r="D83" s="9"/>
      <c r="E83" s="9"/>
      <c r="F83" s="9"/>
      <c r="G83" s="27"/>
      <c r="H83" s="28"/>
      <c r="I83" s="28"/>
      <c r="J83" s="29" t="str">
        <f aca="false">IF(OR(H83="",I83="",I83=0),"",H83/I83)</f>
        <v/>
      </c>
      <c r="K83" s="30"/>
      <c r="L83" s="28"/>
      <c r="M83" s="28"/>
      <c r="N83" s="29" t="str">
        <f aca="false">IF(OR(L83="",M83="",M83=0),"",L83/M83)</f>
        <v/>
      </c>
      <c r="O83" s="30"/>
      <c r="P83" s="28"/>
      <c r="Q83" s="28"/>
      <c r="R83" s="29" t="str">
        <f aca="false">IF(OR(P83="",Q83="",Q83=0),"",P83/Q83)</f>
        <v/>
      </c>
      <c r="S83" s="30"/>
      <c r="T83" s="31" t="str">
        <f aca="false">IF(OR(AA83="",H83="",H83=0),"",AA83/H83-1)</f>
        <v/>
      </c>
      <c r="U83" s="31" t="str">
        <f aca="false">IF(OR(AB83="",I83="",I83=0),"",AB83/I83-1)</f>
        <v/>
      </c>
      <c r="V83" s="32" t="str">
        <f aca="false">IF(OR(J83="",IF(R83&lt;&gt;"",R83,N83)=""),"",(IF(R83&lt;&gt;"",R83,N83)-J83)*100)</f>
        <v/>
      </c>
      <c r="W83" s="33" t="str">
        <f aca="false">IF(OR(K83="",IF(S83&lt;&gt;"",S83,O83)=""),"",K83-IF(S83&lt;&gt;"",S83,O83))</f>
        <v/>
      </c>
      <c r="X83" s="34" t="str">
        <f aca="false">IF(F83="","",IF(E83="Redirected (301)",IF(AA83="","Pending","Redirected – see target"),IF(OR(AA83="",H83=""),"Pending",IF(H83=0,IF(AA83&gt;0,"Win","Neutral"),IF(AA83&gt;=H83*(1+'How to use'!$C$15),"Win",IF(AA83&lt;=H83*(1+'How to use'!$C$16),"Loss","Neutral"))))))</f>
        <v/>
      </c>
      <c r="Y83" s="35" t="str">
        <f aca="false">IF(OR(F83="",C83=""),"",IF(P83&lt;&gt;"","Done",IF(L83&lt;&gt;"",C83+'How to use'!$C$19+'How to use'!$C$17,C83+'How to use'!$C$18+'How to use'!$C$17)))</f>
        <v/>
      </c>
      <c r="Z83" s="9"/>
      <c r="AA83" s="36" t="str">
        <f aca="false">IF(P83&lt;&gt;"",P83,IF(L83&lt;&gt;"",L83,""))</f>
        <v/>
      </c>
      <c r="AB83" s="36" t="str">
        <f aca="false">IF(Q83&lt;&gt;"",Q83,IF(M83&lt;&gt;"",M83,""))</f>
        <v/>
      </c>
    </row>
    <row r="84" customFormat="false" ht="15" hidden="false" customHeight="false" outlineLevel="0" collapsed="false">
      <c r="A84" s="9"/>
      <c r="B84" s="9"/>
      <c r="C84" s="26"/>
      <c r="D84" s="9"/>
      <c r="E84" s="9"/>
      <c r="F84" s="9"/>
      <c r="G84" s="27"/>
      <c r="H84" s="28"/>
      <c r="I84" s="28"/>
      <c r="J84" s="29" t="str">
        <f aca="false">IF(OR(H84="",I84="",I84=0),"",H84/I84)</f>
        <v/>
      </c>
      <c r="K84" s="30"/>
      <c r="L84" s="28"/>
      <c r="M84" s="28"/>
      <c r="N84" s="29" t="str">
        <f aca="false">IF(OR(L84="",M84="",M84=0),"",L84/M84)</f>
        <v/>
      </c>
      <c r="O84" s="30"/>
      <c r="P84" s="28"/>
      <c r="Q84" s="28"/>
      <c r="R84" s="29" t="str">
        <f aca="false">IF(OR(P84="",Q84="",Q84=0),"",P84/Q84)</f>
        <v/>
      </c>
      <c r="S84" s="30"/>
      <c r="T84" s="31" t="str">
        <f aca="false">IF(OR(AA84="",H84="",H84=0),"",AA84/H84-1)</f>
        <v/>
      </c>
      <c r="U84" s="31" t="str">
        <f aca="false">IF(OR(AB84="",I84="",I84=0),"",AB84/I84-1)</f>
        <v/>
      </c>
      <c r="V84" s="32" t="str">
        <f aca="false">IF(OR(J84="",IF(R84&lt;&gt;"",R84,N84)=""),"",(IF(R84&lt;&gt;"",R84,N84)-J84)*100)</f>
        <v/>
      </c>
      <c r="W84" s="33" t="str">
        <f aca="false">IF(OR(K84="",IF(S84&lt;&gt;"",S84,O84)=""),"",K84-IF(S84&lt;&gt;"",S84,O84))</f>
        <v/>
      </c>
      <c r="X84" s="34" t="str">
        <f aca="false">IF(F84="","",IF(E84="Redirected (301)",IF(AA84="","Pending","Redirected – see target"),IF(OR(AA84="",H84=""),"Pending",IF(H84=0,IF(AA84&gt;0,"Win","Neutral"),IF(AA84&gt;=H84*(1+'How to use'!$C$15),"Win",IF(AA84&lt;=H84*(1+'How to use'!$C$16),"Loss","Neutral"))))))</f>
        <v/>
      </c>
      <c r="Y84" s="35" t="str">
        <f aca="false">IF(OR(F84="",C84=""),"",IF(P84&lt;&gt;"","Done",IF(L84&lt;&gt;"",C84+'How to use'!$C$19+'How to use'!$C$17,C84+'How to use'!$C$18+'How to use'!$C$17)))</f>
        <v/>
      </c>
      <c r="Z84" s="9"/>
      <c r="AA84" s="36" t="str">
        <f aca="false">IF(P84&lt;&gt;"",P84,IF(L84&lt;&gt;"",L84,""))</f>
        <v/>
      </c>
      <c r="AB84" s="36" t="str">
        <f aca="false">IF(Q84&lt;&gt;"",Q84,IF(M84&lt;&gt;"",M84,""))</f>
        <v/>
      </c>
    </row>
    <row r="85" customFormat="false" ht="15" hidden="false" customHeight="false" outlineLevel="0" collapsed="false">
      <c r="A85" s="9"/>
      <c r="B85" s="9"/>
      <c r="C85" s="26"/>
      <c r="D85" s="9"/>
      <c r="E85" s="9"/>
      <c r="F85" s="9"/>
      <c r="G85" s="27"/>
      <c r="H85" s="28"/>
      <c r="I85" s="28"/>
      <c r="J85" s="29" t="str">
        <f aca="false">IF(OR(H85="",I85="",I85=0),"",H85/I85)</f>
        <v/>
      </c>
      <c r="K85" s="30"/>
      <c r="L85" s="28"/>
      <c r="M85" s="28"/>
      <c r="N85" s="29" t="str">
        <f aca="false">IF(OR(L85="",M85="",M85=0),"",L85/M85)</f>
        <v/>
      </c>
      <c r="O85" s="30"/>
      <c r="P85" s="28"/>
      <c r="Q85" s="28"/>
      <c r="R85" s="29" t="str">
        <f aca="false">IF(OR(P85="",Q85="",Q85=0),"",P85/Q85)</f>
        <v/>
      </c>
      <c r="S85" s="30"/>
      <c r="T85" s="31" t="str">
        <f aca="false">IF(OR(AA85="",H85="",H85=0),"",AA85/H85-1)</f>
        <v/>
      </c>
      <c r="U85" s="31" t="str">
        <f aca="false">IF(OR(AB85="",I85="",I85=0),"",AB85/I85-1)</f>
        <v/>
      </c>
      <c r="V85" s="32" t="str">
        <f aca="false">IF(OR(J85="",IF(R85&lt;&gt;"",R85,N85)=""),"",(IF(R85&lt;&gt;"",R85,N85)-J85)*100)</f>
        <v/>
      </c>
      <c r="W85" s="33" t="str">
        <f aca="false">IF(OR(K85="",IF(S85&lt;&gt;"",S85,O85)=""),"",K85-IF(S85&lt;&gt;"",S85,O85))</f>
        <v/>
      </c>
      <c r="X85" s="34" t="str">
        <f aca="false">IF(F85="","",IF(E85="Redirected (301)",IF(AA85="","Pending","Redirected – see target"),IF(OR(AA85="",H85=""),"Pending",IF(H85=0,IF(AA85&gt;0,"Win","Neutral"),IF(AA85&gt;=H85*(1+'How to use'!$C$15),"Win",IF(AA85&lt;=H85*(1+'How to use'!$C$16),"Loss","Neutral"))))))</f>
        <v/>
      </c>
      <c r="Y85" s="35" t="str">
        <f aca="false">IF(OR(F85="",C85=""),"",IF(P85&lt;&gt;"","Done",IF(L85&lt;&gt;"",C85+'How to use'!$C$19+'How to use'!$C$17,C85+'How to use'!$C$18+'How to use'!$C$17)))</f>
        <v/>
      </c>
      <c r="Z85" s="9"/>
      <c r="AA85" s="36" t="str">
        <f aca="false">IF(P85&lt;&gt;"",P85,IF(L85&lt;&gt;"",L85,""))</f>
        <v/>
      </c>
      <c r="AB85" s="36" t="str">
        <f aca="false">IF(Q85&lt;&gt;"",Q85,IF(M85&lt;&gt;"",M85,""))</f>
        <v/>
      </c>
    </row>
    <row r="86" customFormat="false" ht="15" hidden="false" customHeight="false" outlineLevel="0" collapsed="false">
      <c r="A86" s="9"/>
      <c r="B86" s="9"/>
      <c r="C86" s="26"/>
      <c r="D86" s="9"/>
      <c r="E86" s="9"/>
      <c r="F86" s="9"/>
      <c r="G86" s="27"/>
      <c r="H86" s="28"/>
      <c r="I86" s="28"/>
      <c r="J86" s="29" t="str">
        <f aca="false">IF(OR(H86="",I86="",I86=0),"",H86/I86)</f>
        <v/>
      </c>
      <c r="K86" s="30"/>
      <c r="L86" s="28"/>
      <c r="M86" s="28"/>
      <c r="N86" s="29" t="str">
        <f aca="false">IF(OR(L86="",M86="",M86=0),"",L86/M86)</f>
        <v/>
      </c>
      <c r="O86" s="30"/>
      <c r="P86" s="28"/>
      <c r="Q86" s="28"/>
      <c r="R86" s="29" t="str">
        <f aca="false">IF(OR(P86="",Q86="",Q86=0),"",P86/Q86)</f>
        <v/>
      </c>
      <c r="S86" s="30"/>
      <c r="T86" s="31" t="str">
        <f aca="false">IF(OR(AA86="",H86="",H86=0),"",AA86/H86-1)</f>
        <v/>
      </c>
      <c r="U86" s="31" t="str">
        <f aca="false">IF(OR(AB86="",I86="",I86=0),"",AB86/I86-1)</f>
        <v/>
      </c>
      <c r="V86" s="32" t="str">
        <f aca="false">IF(OR(J86="",IF(R86&lt;&gt;"",R86,N86)=""),"",(IF(R86&lt;&gt;"",R86,N86)-J86)*100)</f>
        <v/>
      </c>
      <c r="W86" s="33" t="str">
        <f aca="false">IF(OR(K86="",IF(S86&lt;&gt;"",S86,O86)=""),"",K86-IF(S86&lt;&gt;"",S86,O86))</f>
        <v/>
      </c>
      <c r="X86" s="34" t="str">
        <f aca="false">IF(F86="","",IF(E86="Redirected (301)",IF(AA86="","Pending","Redirected – see target"),IF(OR(AA86="",H86=""),"Pending",IF(H86=0,IF(AA86&gt;0,"Win","Neutral"),IF(AA86&gt;=H86*(1+'How to use'!$C$15),"Win",IF(AA86&lt;=H86*(1+'How to use'!$C$16),"Loss","Neutral"))))))</f>
        <v/>
      </c>
      <c r="Y86" s="35" t="str">
        <f aca="false">IF(OR(F86="",C86=""),"",IF(P86&lt;&gt;"","Done",IF(L86&lt;&gt;"",C86+'How to use'!$C$19+'How to use'!$C$17,C86+'How to use'!$C$18+'How to use'!$C$17)))</f>
        <v/>
      </c>
      <c r="Z86" s="9"/>
      <c r="AA86" s="36" t="str">
        <f aca="false">IF(P86&lt;&gt;"",P86,IF(L86&lt;&gt;"",L86,""))</f>
        <v/>
      </c>
      <c r="AB86" s="36" t="str">
        <f aca="false">IF(Q86&lt;&gt;"",Q86,IF(M86&lt;&gt;"",M86,""))</f>
        <v/>
      </c>
    </row>
    <row r="87" customFormat="false" ht="15" hidden="false" customHeight="false" outlineLevel="0" collapsed="false">
      <c r="A87" s="9"/>
      <c r="B87" s="9"/>
      <c r="C87" s="26"/>
      <c r="D87" s="9"/>
      <c r="E87" s="9"/>
      <c r="F87" s="9"/>
      <c r="G87" s="27"/>
      <c r="H87" s="28"/>
      <c r="I87" s="28"/>
      <c r="J87" s="29" t="str">
        <f aca="false">IF(OR(H87="",I87="",I87=0),"",H87/I87)</f>
        <v/>
      </c>
      <c r="K87" s="30"/>
      <c r="L87" s="28"/>
      <c r="M87" s="28"/>
      <c r="N87" s="29" t="str">
        <f aca="false">IF(OR(L87="",M87="",M87=0),"",L87/M87)</f>
        <v/>
      </c>
      <c r="O87" s="30"/>
      <c r="P87" s="28"/>
      <c r="Q87" s="28"/>
      <c r="R87" s="29" t="str">
        <f aca="false">IF(OR(P87="",Q87="",Q87=0),"",P87/Q87)</f>
        <v/>
      </c>
      <c r="S87" s="30"/>
      <c r="T87" s="31" t="str">
        <f aca="false">IF(OR(AA87="",H87="",H87=0),"",AA87/H87-1)</f>
        <v/>
      </c>
      <c r="U87" s="31" t="str">
        <f aca="false">IF(OR(AB87="",I87="",I87=0),"",AB87/I87-1)</f>
        <v/>
      </c>
      <c r="V87" s="32" t="str">
        <f aca="false">IF(OR(J87="",IF(R87&lt;&gt;"",R87,N87)=""),"",(IF(R87&lt;&gt;"",R87,N87)-J87)*100)</f>
        <v/>
      </c>
      <c r="W87" s="33" t="str">
        <f aca="false">IF(OR(K87="",IF(S87&lt;&gt;"",S87,O87)=""),"",K87-IF(S87&lt;&gt;"",S87,O87))</f>
        <v/>
      </c>
      <c r="X87" s="34" t="str">
        <f aca="false">IF(F87="","",IF(E87="Redirected (301)",IF(AA87="","Pending","Redirected – see target"),IF(OR(AA87="",H87=""),"Pending",IF(H87=0,IF(AA87&gt;0,"Win","Neutral"),IF(AA87&gt;=H87*(1+'How to use'!$C$15),"Win",IF(AA87&lt;=H87*(1+'How to use'!$C$16),"Loss","Neutral"))))))</f>
        <v/>
      </c>
      <c r="Y87" s="35" t="str">
        <f aca="false">IF(OR(F87="",C87=""),"",IF(P87&lt;&gt;"","Done",IF(L87&lt;&gt;"",C87+'How to use'!$C$19+'How to use'!$C$17,C87+'How to use'!$C$18+'How to use'!$C$17)))</f>
        <v/>
      </c>
      <c r="Z87" s="9"/>
      <c r="AA87" s="36" t="str">
        <f aca="false">IF(P87&lt;&gt;"",P87,IF(L87&lt;&gt;"",L87,""))</f>
        <v/>
      </c>
      <c r="AB87" s="36" t="str">
        <f aca="false">IF(Q87&lt;&gt;"",Q87,IF(M87&lt;&gt;"",M87,""))</f>
        <v/>
      </c>
    </row>
    <row r="88" customFormat="false" ht="15" hidden="false" customHeight="false" outlineLevel="0" collapsed="false">
      <c r="A88" s="9"/>
      <c r="B88" s="9"/>
      <c r="C88" s="26"/>
      <c r="D88" s="9"/>
      <c r="E88" s="9"/>
      <c r="F88" s="9"/>
      <c r="G88" s="27"/>
      <c r="H88" s="28"/>
      <c r="I88" s="28"/>
      <c r="J88" s="29" t="str">
        <f aca="false">IF(OR(H88="",I88="",I88=0),"",H88/I88)</f>
        <v/>
      </c>
      <c r="K88" s="30"/>
      <c r="L88" s="28"/>
      <c r="M88" s="28"/>
      <c r="N88" s="29" t="str">
        <f aca="false">IF(OR(L88="",M88="",M88=0),"",L88/M88)</f>
        <v/>
      </c>
      <c r="O88" s="30"/>
      <c r="P88" s="28"/>
      <c r="Q88" s="28"/>
      <c r="R88" s="29" t="str">
        <f aca="false">IF(OR(P88="",Q88="",Q88=0),"",P88/Q88)</f>
        <v/>
      </c>
      <c r="S88" s="30"/>
      <c r="T88" s="31" t="str">
        <f aca="false">IF(OR(AA88="",H88="",H88=0),"",AA88/H88-1)</f>
        <v/>
      </c>
      <c r="U88" s="31" t="str">
        <f aca="false">IF(OR(AB88="",I88="",I88=0),"",AB88/I88-1)</f>
        <v/>
      </c>
      <c r="V88" s="32" t="str">
        <f aca="false">IF(OR(J88="",IF(R88&lt;&gt;"",R88,N88)=""),"",(IF(R88&lt;&gt;"",R88,N88)-J88)*100)</f>
        <v/>
      </c>
      <c r="W88" s="33" t="str">
        <f aca="false">IF(OR(K88="",IF(S88&lt;&gt;"",S88,O88)=""),"",K88-IF(S88&lt;&gt;"",S88,O88))</f>
        <v/>
      </c>
      <c r="X88" s="34" t="str">
        <f aca="false">IF(F88="","",IF(E88="Redirected (301)",IF(AA88="","Pending","Redirected – see target"),IF(OR(AA88="",H88=""),"Pending",IF(H88=0,IF(AA88&gt;0,"Win","Neutral"),IF(AA88&gt;=H88*(1+'How to use'!$C$15),"Win",IF(AA88&lt;=H88*(1+'How to use'!$C$16),"Loss","Neutral"))))))</f>
        <v/>
      </c>
      <c r="Y88" s="35" t="str">
        <f aca="false">IF(OR(F88="",C88=""),"",IF(P88&lt;&gt;"","Done",IF(L88&lt;&gt;"",C88+'How to use'!$C$19+'How to use'!$C$17,C88+'How to use'!$C$18+'How to use'!$C$17)))</f>
        <v/>
      </c>
      <c r="Z88" s="9"/>
      <c r="AA88" s="36" t="str">
        <f aca="false">IF(P88&lt;&gt;"",P88,IF(L88&lt;&gt;"",L88,""))</f>
        <v/>
      </c>
      <c r="AB88" s="36" t="str">
        <f aca="false">IF(Q88&lt;&gt;"",Q88,IF(M88&lt;&gt;"",M88,""))</f>
        <v/>
      </c>
    </row>
    <row r="89" customFormat="false" ht="15" hidden="false" customHeight="false" outlineLevel="0" collapsed="false">
      <c r="A89" s="9"/>
      <c r="B89" s="9"/>
      <c r="C89" s="26"/>
      <c r="D89" s="9"/>
      <c r="E89" s="9"/>
      <c r="F89" s="9"/>
      <c r="G89" s="27"/>
      <c r="H89" s="28"/>
      <c r="I89" s="28"/>
      <c r="J89" s="29" t="str">
        <f aca="false">IF(OR(H89="",I89="",I89=0),"",H89/I89)</f>
        <v/>
      </c>
      <c r="K89" s="30"/>
      <c r="L89" s="28"/>
      <c r="M89" s="28"/>
      <c r="N89" s="29" t="str">
        <f aca="false">IF(OR(L89="",M89="",M89=0),"",L89/M89)</f>
        <v/>
      </c>
      <c r="O89" s="30"/>
      <c r="P89" s="28"/>
      <c r="Q89" s="28"/>
      <c r="R89" s="29" t="str">
        <f aca="false">IF(OR(P89="",Q89="",Q89=0),"",P89/Q89)</f>
        <v/>
      </c>
      <c r="S89" s="30"/>
      <c r="T89" s="31" t="str">
        <f aca="false">IF(OR(AA89="",H89="",H89=0),"",AA89/H89-1)</f>
        <v/>
      </c>
      <c r="U89" s="31" t="str">
        <f aca="false">IF(OR(AB89="",I89="",I89=0),"",AB89/I89-1)</f>
        <v/>
      </c>
      <c r="V89" s="32" t="str">
        <f aca="false">IF(OR(J89="",IF(R89&lt;&gt;"",R89,N89)=""),"",(IF(R89&lt;&gt;"",R89,N89)-J89)*100)</f>
        <v/>
      </c>
      <c r="W89" s="33" t="str">
        <f aca="false">IF(OR(K89="",IF(S89&lt;&gt;"",S89,O89)=""),"",K89-IF(S89&lt;&gt;"",S89,O89))</f>
        <v/>
      </c>
      <c r="X89" s="34" t="str">
        <f aca="false">IF(F89="","",IF(E89="Redirected (301)",IF(AA89="","Pending","Redirected – see target"),IF(OR(AA89="",H89=""),"Pending",IF(H89=0,IF(AA89&gt;0,"Win","Neutral"),IF(AA89&gt;=H89*(1+'How to use'!$C$15),"Win",IF(AA89&lt;=H89*(1+'How to use'!$C$16),"Loss","Neutral"))))))</f>
        <v/>
      </c>
      <c r="Y89" s="35" t="str">
        <f aca="false">IF(OR(F89="",C89=""),"",IF(P89&lt;&gt;"","Done",IF(L89&lt;&gt;"",C89+'How to use'!$C$19+'How to use'!$C$17,C89+'How to use'!$C$18+'How to use'!$C$17)))</f>
        <v/>
      </c>
      <c r="Z89" s="9"/>
      <c r="AA89" s="36" t="str">
        <f aca="false">IF(P89&lt;&gt;"",P89,IF(L89&lt;&gt;"",L89,""))</f>
        <v/>
      </c>
      <c r="AB89" s="36" t="str">
        <f aca="false">IF(Q89&lt;&gt;"",Q89,IF(M89&lt;&gt;"",M89,""))</f>
        <v/>
      </c>
    </row>
    <row r="90" customFormat="false" ht="15" hidden="false" customHeight="false" outlineLevel="0" collapsed="false">
      <c r="A90" s="9"/>
      <c r="B90" s="9"/>
      <c r="C90" s="26"/>
      <c r="D90" s="9"/>
      <c r="E90" s="9"/>
      <c r="F90" s="9"/>
      <c r="G90" s="27"/>
      <c r="H90" s="28"/>
      <c r="I90" s="28"/>
      <c r="J90" s="29" t="str">
        <f aca="false">IF(OR(H90="",I90="",I90=0),"",H90/I90)</f>
        <v/>
      </c>
      <c r="K90" s="30"/>
      <c r="L90" s="28"/>
      <c r="M90" s="28"/>
      <c r="N90" s="29" t="str">
        <f aca="false">IF(OR(L90="",M90="",M90=0),"",L90/M90)</f>
        <v/>
      </c>
      <c r="O90" s="30"/>
      <c r="P90" s="28"/>
      <c r="Q90" s="28"/>
      <c r="R90" s="29" t="str">
        <f aca="false">IF(OR(P90="",Q90="",Q90=0),"",P90/Q90)</f>
        <v/>
      </c>
      <c r="S90" s="30"/>
      <c r="T90" s="31" t="str">
        <f aca="false">IF(OR(AA90="",H90="",H90=0),"",AA90/H90-1)</f>
        <v/>
      </c>
      <c r="U90" s="31" t="str">
        <f aca="false">IF(OR(AB90="",I90="",I90=0),"",AB90/I90-1)</f>
        <v/>
      </c>
      <c r="V90" s="32" t="str">
        <f aca="false">IF(OR(J90="",IF(R90&lt;&gt;"",R90,N90)=""),"",(IF(R90&lt;&gt;"",R90,N90)-J90)*100)</f>
        <v/>
      </c>
      <c r="W90" s="33" t="str">
        <f aca="false">IF(OR(K90="",IF(S90&lt;&gt;"",S90,O90)=""),"",K90-IF(S90&lt;&gt;"",S90,O90))</f>
        <v/>
      </c>
      <c r="X90" s="34" t="str">
        <f aca="false">IF(F90="","",IF(E90="Redirected (301)",IF(AA90="","Pending","Redirected – see target"),IF(OR(AA90="",H90=""),"Pending",IF(H90=0,IF(AA90&gt;0,"Win","Neutral"),IF(AA90&gt;=H90*(1+'How to use'!$C$15),"Win",IF(AA90&lt;=H90*(1+'How to use'!$C$16),"Loss","Neutral"))))))</f>
        <v/>
      </c>
      <c r="Y90" s="35" t="str">
        <f aca="false">IF(OR(F90="",C90=""),"",IF(P90&lt;&gt;"","Done",IF(L90&lt;&gt;"",C90+'How to use'!$C$19+'How to use'!$C$17,C90+'How to use'!$C$18+'How to use'!$C$17)))</f>
        <v/>
      </c>
      <c r="Z90" s="9"/>
      <c r="AA90" s="36" t="str">
        <f aca="false">IF(P90&lt;&gt;"",P90,IF(L90&lt;&gt;"",L90,""))</f>
        <v/>
      </c>
      <c r="AB90" s="36" t="str">
        <f aca="false">IF(Q90&lt;&gt;"",Q90,IF(M90&lt;&gt;"",M90,""))</f>
        <v/>
      </c>
    </row>
    <row r="91" customFormat="false" ht="15" hidden="false" customHeight="false" outlineLevel="0" collapsed="false">
      <c r="A91" s="9"/>
      <c r="B91" s="9"/>
      <c r="C91" s="26"/>
      <c r="D91" s="9"/>
      <c r="E91" s="9"/>
      <c r="F91" s="9"/>
      <c r="G91" s="27"/>
      <c r="H91" s="28"/>
      <c r="I91" s="28"/>
      <c r="J91" s="29" t="str">
        <f aca="false">IF(OR(H91="",I91="",I91=0),"",H91/I91)</f>
        <v/>
      </c>
      <c r="K91" s="30"/>
      <c r="L91" s="28"/>
      <c r="M91" s="28"/>
      <c r="N91" s="29" t="str">
        <f aca="false">IF(OR(L91="",M91="",M91=0),"",L91/M91)</f>
        <v/>
      </c>
      <c r="O91" s="30"/>
      <c r="P91" s="28"/>
      <c r="Q91" s="28"/>
      <c r="R91" s="29" t="str">
        <f aca="false">IF(OR(P91="",Q91="",Q91=0),"",P91/Q91)</f>
        <v/>
      </c>
      <c r="S91" s="30"/>
      <c r="T91" s="31" t="str">
        <f aca="false">IF(OR(AA91="",H91="",H91=0),"",AA91/H91-1)</f>
        <v/>
      </c>
      <c r="U91" s="31" t="str">
        <f aca="false">IF(OR(AB91="",I91="",I91=0),"",AB91/I91-1)</f>
        <v/>
      </c>
      <c r="V91" s="32" t="str">
        <f aca="false">IF(OR(J91="",IF(R91&lt;&gt;"",R91,N91)=""),"",(IF(R91&lt;&gt;"",R91,N91)-J91)*100)</f>
        <v/>
      </c>
      <c r="W91" s="33" t="str">
        <f aca="false">IF(OR(K91="",IF(S91&lt;&gt;"",S91,O91)=""),"",K91-IF(S91&lt;&gt;"",S91,O91))</f>
        <v/>
      </c>
      <c r="X91" s="34" t="str">
        <f aca="false">IF(F91="","",IF(E91="Redirected (301)",IF(AA91="","Pending","Redirected – see target"),IF(OR(AA91="",H91=""),"Pending",IF(H91=0,IF(AA91&gt;0,"Win","Neutral"),IF(AA91&gt;=H91*(1+'How to use'!$C$15),"Win",IF(AA91&lt;=H91*(1+'How to use'!$C$16),"Loss","Neutral"))))))</f>
        <v/>
      </c>
      <c r="Y91" s="35" t="str">
        <f aca="false">IF(OR(F91="",C91=""),"",IF(P91&lt;&gt;"","Done",IF(L91&lt;&gt;"",C91+'How to use'!$C$19+'How to use'!$C$17,C91+'How to use'!$C$18+'How to use'!$C$17)))</f>
        <v/>
      </c>
      <c r="Z91" s="9"/>
      <c r="AA91" s="36" t="str">
        <f aca="false">IF(P91&lt;&gt;"",P91,IF(L91&lt;&gt;"",L91,""))</f>
        <v/>
      </c>
      <c r="AB91" s="36" t="str">
        <f aca="false">IF(Q91&lt;&gt;"",Q91,IF(M91&lt;&gt;"",M91,""))</f>
        <v/>
      </c>
    </row>
    <row r="92" customFormat="false" ht="15" hidden="false" customHeight="false" outlineLevel="0" collapsed="false">
      <c r="A92" s="9"/>
      <c r="B92" s="9"/>
      <c r="C92" s="26"/>
      <c r="D92" s="9"/>
      <c r="E92" s="9"/>
      <c r="F92" s="9"/>
      <c r="G92" s="27"/>
      <c r="H92" s="28"/>
      <c r="I92" s="28"/>
      <c r="J92" s="29" t="str">
        <f aca="false">IF(OR(H92="",I92="",I92=0),"",H92/I92)</f>
        <v/>
      </c>
      <c r="K92" s="30"/>
      <c r="L92" s="28"/>
      <c r="M92" s="28"/>
      <c r="N92" s="29" t="str">
        <f aca="false">IF(OR(L92="",M92="",M92=0),"",L92/M92)</f>
        <v/>
      </c>
      <c r="O92" s="30"/>
      <c r="P92" s="28"/>
      <c r="Q92" s="28"/>
      <c r="R92" s="29" t="str">
        <f aca="false">IF(OR(P92="",Q92="",Q92=0),"",P92/Q92)</f>
        <v/>
      </c>
      <c r="S92" s="30"/>
      <c r="T92" s="31" t="str">
        <f aca="false">IF(OR(AA92="",H92="",H92=0),"",AA92/H92-1)</f>
        <v/>
      </c>
      <c r="U92" s="31" t="str">
        <f aca="false">IF(OR(AB92="",I92="",I92=0),"",AB92/I92-1)</f>
        <v/>
      </c>
      <c r="V92" s="32" t="str">
        <f aca="false">IF(OR(J92="",IF(R92&lt;&gt;"",R92,N92)=""),"",(IF(R92&lt;&gt;"",R92,N92)-J92)*100)</f>
        <v/>
      </c>
      <c r="W92" s="33" t="str">
        <f aca="false">IF(OR(K92="",IF(S92&lt;&gt;"",S92,O92)=""),"",K92-IF(S92&lt;&gt;"",S92,O92))</f>
        <v/>
      </c>
      <c r="X92" s="34" t="str">
        <f aca="false">IF(F92="","",IF(E92="Redirected (301)",IF(AA92="","Pending","Redirected – see target"),IF(OR(AA92="",H92=""),"Pending",IF(H92=0,IF(AA92&gt;0,"Win","Neutral"),IF(AA92&gt;=H92*(1+'How to use'!$C$15),"Win",IF(AA92&lt;=H92*(1+'How to use'!$C$16),"Loss","Neutral"))))))</f>
        <v/>
      </c>
      <c r="Y92" s="35" t="str">
        <f aca="false">IF(OR(F92="",C92=""),"",IF(P92&lt;&gt;"","Done",IF(L92&lt;&gt;"",C92+'How to use'!$C$19+'How to use'!$C$17,C92+'How to use'!$C$18+'How to use'!$C$17)))</f>
        <v/>
      </c>
      <c r="Z92" s="9"/>
      <c r="AA92" s="36" t="str">
        <f aca="false">IF(P92&lt;&gt;"",P92,IF(L92&lt;&gt;"",L92,""))</f>
        <v/>
      </c>
      <c r="AB92" s="36" t="str">
        <f aca="false">IF(Q92&lt;&gt;"",Q92,IF(M92&lt;&gt;"",M92,""))</f>
        <v/>
      </c>
    </row>
    <row r="93" customFormat="false" ht="15" hidden="false" customHeight="false" outlineLevel="0" collapsed="false">
      <c r="A93" s="9"/>
      <c r="B93" s="9"/>
      <c r="C93" s="26"/>
      <c r="D93" s="9"/>
      <c r="E93" s="9"/>
      <c r="F93" s="9"/>
      <c r="G93" s="27"/>
      <c r="H93" s="28"/>
      <c r="I93" s="28"/>
      <c r="J93" s="29" t="str">
        <f aca="false">IF(OR(H93="",I93="",I93=0),"",H93/I93)</f>
        <v/>
      </c>
      <c r="K93" s="30"/>
      <c r="L93" s="28"/>
      <c r="M93" s="28"/>
      <c r="N93" s="29" t="str">
        <f aca="false">IF(OR(L93="",M93="",M93=0),"",L93/M93)</f>
        <v/>
      </c>
      <c r="O93" s="30"/>
      <c r="P93" s="28"/>
      <c r="Q93" s="28"/>
      <c r="R93" s="29" t="str">
        <f aca="false">IF(OR(P93="",Q93="",Q93=0),"",P93/Q93)</f>
        <v/>
      </c>
      <c r="S93" s="30"/>
      <c r="T93" s="31" t="str">
        <f aca="false">IF(OR(AA93="",H93="",H93=0),"",AA93/H93-1)</f>
        <v/>
      </c>
      <c r="U93" s="31" t="str">
        <f aca="false">IF(OR(AB93="",I93="",I93=0),"",AB93/I93-1)</f>
        <v/>
      </c>
      <c r="V93" s="32" t="str">
        <f aca="false">IF(OR(J93="",IF(R93&lt;&gt;"",R93,N93)=""),"",(IF(R93&lt;&gt;"",R93,N93)-J93)*100)</f>
        <v/>
      </c>
      <c r="W93" s="33" t="str">
        <f aca="false">IF(OR(K93="",IF(S93&lt;&gt;"",S93,O93)=""),"",K93-IF(S93&lt;&gt;"",S93,O93))</f>
        <v/>
      </c>
      <c r="X93" s="34" t="str">
        <f aca="false">IF(F93="","",IF(E93="Redirected (301)",IF(AA93="","Pending","Redirected – see target"),IF(OR(AA93="",H93=""),"Pending",IF(H93=0,IF(AA93&gt;0,"Win","Neutral"),IF(AA93&gt;=H93*(1+'How to use'!$C$15),"Win",IF(AA93&lt;=H93*(1+'How to use'!$C$16),"Loss","Neutral"))))))</f>
        <v/>
      </c>
      <c r="Y93" s="35" t="str">
        <f aca="false">IF(OR(F93="",C93=""),"",IF(P93&lt;&gt;"","Done",IF(L93&lt;&gt;"",C93+'How to use'!$C$19+'How to use'!$C$17,C93+'How to use'!$C$18+'How to use'!$C$17)))</f>
        <v/>
      </c>
      <c r="Z93" s="9"/>
      <c r="AA93" s="36" t="str">
        <f aca="false">IF(P93&lt;&gt;"",P93,IF(L93&lt;&gt;"",L93,""))</f>
        <v/>
      </c>
      <c r="AB93" s="36" t="str">
        <f aca="false">IF(Q93&lt;&gt;"",Q93,IF(M93&lt;&gt;"",M93,""))</f>
        <v/>
      </c>
    </row>
    <row r="94" customFormat="false" ht="15" hidden="false" customHeight="false" outlineLevel="0" collapsed="false">
      <c r="A94" s="9"/>
      <c r="B94" s="9"/>
      <c r="C94" s="26"/>
      <c r="D94" s="9"/>
      <c r="E94" s="9"/>
      <c r="F94" s="9"/>
      <c r="G94" s="27"/>
      <c r="H94" s="28"/>
      <c r="I94" s="28"/>
      <c r="J94" s="29" t="str">
        <f aca="false">IF(OR(H94="",I94="",I94=0),"",H94/I94)</f>
        <v/>
      </c>
      <c r="K94" s="30"/>
      <c r="L94" s="28"/>
      <c r="M94" s="28"/>
      <c r="N94" s="29" t="str">
        <f aca="false">IF(OR(L94="",M94="",M94=0),"",L94/M94)</f>
        <v/>
      </c>
      <c r="O94" s="30"/>
      <c r="P94" s="28"/>
      <c r="Q94" s="28"/>
      <c r="R94" s="29" t="str">
        <f aca="false">IF(OR(P94="",Q94="",Q94=0),"",P94/Q94)</f>
        <v/>
      </c>
      <c r="S94" s="30"/>
      <c r="T94" s="31" t="str">
        <f aca="false">IF(OR(AA94="",H94="",H94=0),"",AA94/H94-1)</f>
        <v/>
      </c>
      <c r="U94" s="31" t="str">
        <f aca="false">IF(OR(AB94="",I94="",I94=0),"",AB94/I94-1)</f>
        <v/>
      </c>
      <c r="V94" s="32" t="str">
        <f aca="false">IF(OR(J94="",IF(R94&lt;&gt;"",R94,N94)=""),"",(IF(R94&lt;&gt;"",R94,N94)-J94)*100)</f>
        <v/>
      </c>
      <c r="W94" s="33" t="str">
        <f aca="false">IF(OR(K94="",IF(S94&lt;&gt;"",S94,O94)=""),"",K94-IF(S94&lt;&gt;"",S94,O94))</f>
        <v/>
      </c>
      <c r="X94" s="34" t="str">
        <f aca="false">IF(F94="","",IF(E94="Redirected (301)",IF(AA94="","Pending","Redirected – see target"),IF(OR(AA94="",H94=""),"Pending",IF(H94=0,IF(AA94&gt;0,"Win","Neutral"),IF(AA94&gt;=H94*(1+'How to use'!$C$15),"Win",IF(AA94&lt;=H94*(1+'How to use'!$C$16),"Loss","Neutral"))))))</f>
        <v/>
      </c>
      <c r="Y94" s="35" t="str">
        <f aca="false">IF(OR(F94="",C94=""),"",IF(P94&lt;&gt;"","Done",IF(L94&lt;&gt;"",C94+'How to use'!$C$19+'How to use'!$C$17,C94+'How to use'!$C$18+'How to use'!$C$17)))</f>
        <v/>
      </c>
      <c r="Z94" s="9"/>
      <c r="AA94" s="36" t="str">
        <f aca="false">IF(P94&lt;&gt;"",P94,IF(L94&lt;&gt;"",L94,""))</f>
        <v/>
      </c>
      <c r="AB94" s="36" t="str">
        <f aca="false">IF(Q94&lt;&gt;"",Q94,IF(M94&lt;&gt;"",M94,""))</f>
        <v/>
      </c>
    </row>
    <row r="95" customFormat="false" ht="15" hidden="false" customHeight="false" outlineLevel="0" collapsed="false">
      <c r="A95" s="9"/>
      <c r="B95" s="9"/>
      <c r="C95" s="26"/>
      <c r="D95" s="9"/>
      <c r="E95" s="9"/>
      <c r="F95" s="9"/>
      <c r="G95" s="27"/>
      <c r="H95" s="28"/>
      <c r="I95" s="28"/>
      <c r="J95" s="29" t="str">
        <f aca="false">IF(OR(H95="",I95="",I95=0),"",H95/I95)</f>
        <v/>
      </c>
      <c r="K95" s="30"/>
      <c r="L95" s="28"/>
      <c r="M95" s="28"/>
      <c r="N95" s="29" t="str">
        <f aca="false">IF(OR(L95="",M95="",M95=0),"",L95/M95)</f>
        <v/>
      </c>
      <c r="O95" s="30"/>
      <c r="P95" s="28"/>
      <c r="Q95" s="28"/>
      <c r="R95" s="29" t="str">
        <f aca="false">IF(OR(P95="",Q95="",Q95=0),"",P95/Q95)</f>
        <v/>
      </c>
      <c r="S95" s="30"/>
      <c r="T95" s="31" t="str">
        <f aca="false">IF(OR(AA95="",H95="",H95=0),"",AA95/H95-1)</f>
        <v/>
      </c>
      <c r="U95" s="31" t="str">
        <f aca="false">IF(OR(AB95="",I95="",I95=0),"",AB95/I95-1)</f>
        <v/>
      </c>
      <c r="V95" s="32" t="str">
        <f aca="false">IF(OR(J95="",IF(R95&lt;&gt;"",R95,N95)=""),"",(IF(R95&lt;&gt;"",R95,N95)-J95)*100)</f>
        <v/>
      </c>
      <c r="W95" s="33" t="str">
        <f aca="false">IF(OR(K95="",IF(S95&lt;&gt;"",S95,O95)=""),"",K95-IF(S95&lt;&gt;"",S95,O95))</f>
        <v/>
      </c>
      <c r="X95" s="34" t="str">
        <f aca="false">IF(F95="","",IF(E95="Redirected (301)",IF(AA95="","Pending","Redirected – see target"),IF(OR(AA95="",H95=""),"Pending",IF(H95=0,IF(AA95&gt;0,"Win","Neutral"),IF(AA95&gt;=H95*(1+'How to use'!$C$15),"Win",IF(AA95&lt;=H95*(1+'How to use'!$C$16),"Loss","Neutral"))))))</f>
        <v/>
      </c>
      <c r="Y95" s="35" t="str">
        <f aca="false">IF(OR(F95="",C95=""),"",IF(P95&lt;&gt;"","Done",IF(L95&lt;&gt;"",C95+'How to use'!$C$19+'How to use'!$C$17,C95+'How to use'!$C$18+'How to use'!$C$17)))</f>
        <v/>
      </c>
      <c r="Z95" s="9"/>
      <c r="AA95" s="36" t="str">
        <f aca="false">IF(P95&lt;&gt;"",P95,IF(L95&lt;&gt;"",L95,""))</f>
        <v/>
      </c>
      <c r="AB95" s="36" t="str">
        <f aca="false">IF(Q95&lt;&gt;"",Q95,IF(M95&lt;&gt;"",M95,""))</f>
        <v/>
      </c>
    </row>
    <row r="96" customFormat="false" ht="15" hidden="false" customHeight="false" outlineLevel="0" collapsed="false">
      <c r="A96" s="9"/>
      <c r="B96" s="9"/>
      <c r="C96" s="26"/>
      <c r="D96" s="9"/>
      <c r="E96" s="9"/>
      <c r="F96" s="9"/>
      <c r="G96" s="27"/>
      <c r="H96" s="28"/>
      <c r="I96" s="28"/>
      <c r="J96" s="29" t="str">
        <f aca="false">IF(OR(H96="",I96="",I96=0),"",H96/I96)</f>
        <v/>
      </c>
      <c r="K96" s="30"/>
      <c r="L96" s="28"/>
      <c r="M96" s="28"/>
      <c r="N96" s="29" t="str">
        <f aca="false">IF(OR(L96="",M96="",M96=0),"",L96/M96)</f>
        <v/>
      </c>
      <c r="O96" s="30"/>
      <c r="P96" s="28"/>
      <c r="Q96" s="28"/>
      <c r="R96" s="29" t="str">
        <f aca="false">IF(OR(P96="",Q96="",Q96=0),"",P96/Q96)</f>
        <v/>
      </c>
      <c r="S96" s="30"/>
      <c r="T96" s="31" t="str">
        <f aca="false">IF(OR(AA96="",H96="",H96=0),"",AA96/H96-1)</f>
        <v/>
      </c>
      <c r="U96" s="31" t="str">
        <f aca="false">IF(OR(AB96="",I96="",I96=0),"",AB96/I96-1)</f>
        <v/>
      </c>
      <c r="V96" s="32" t="str">
        <f aca="false">IF(OR(J96="",IF(R96&lt;&gt;"",R96,N96)=""),"",(IF(R96&lt;&gt;"",R96,N96)-J96)*100)</f>
        <v/>
      </c>
      <c r="W96" s="33" t="str">
        <f aca="false">IF(OR(K96="",IF(S96&lt;&gt;"",S96,O96)=""),"",K96-IF(S96&lt;&gt;"",S96,O96))</f>
        <v/>
      </c>
      <c r="X96" s="34" t="str">
        <f aca="false">IF(F96="","",IF(E96="Redirected (301)",IF(AA96="","Pending","Redirected – see target"),IF(OR(AA96="",H96=""),"Pending",IF(H96=0,IF(AA96&gt;0,"Win","Neutral"),IF(AA96&gt;=H96*(1+'How to use'!$C$15),"Win",IF(AA96&lt;=H96*(1+'How to use'!$C$16),"Loss","Neutral"))))))</f>
        <v/>
      </c>
      <c r="Y96" s="35" t="str">
        <f aca="false">IF(OR(F96="",C96=""),"",IF(P96&lt;&gt;"","Done",IF(L96&lt;&gt;"",C96+'How to use'!$C$19+'How to use'!$C$17,C96+'How to use'!$C$18+'How to use'!$C$17)))</f>
        <v/>
      </c>
      <c r="Z96" s="9"/>
      <c r="AA96" s="36" t="str">
        <f aca="false">IF(P96&lt;&gt;"",P96,IF(L96&lt;&gt;"",L96,""))</f>
        <v/>
      </c>
      <c r="AB96" s="36" t="str">
        <f aca="false">IF(Q96&lt;&gt;"",Q96,IF(M96&lt;&gt;"",M96,""))</f>
        <v/>
      </c>
    </row>
    <row r="97" customFormat="false" ht="15" hidden="false" customHeight="false" outlineLevel="0" collapsed="false">
      <c r="A97" s="9"/>
      <c r="B97" s="9"/>
      <c r="C97" s="26"/>
      <c r="D97" s="9"/>
      <c r="E97" s="9"/>
      <c r="F97" s="9"/>
      <c r="G97" s="27"/>
      <c r="H97" s="28"/>
      <c r="I97" s="28"/>
      <c r="J97" s="29" t="str">
        <f aca="false">IF(OR(H97="",I97="",I97=0),"",H97/I97)</f>
        <v/>
      </c>
      <c r="K97" s="30"/>
      <c r="L97" s="28"/>
      <c r="M97" s="28"/>
      <c r="N97" s="29" t="str">
        <f aca="false">IF(OR(L97="",M97="",M97=0),"",L97/M97)</f>
        <v/>
      </c>
      <c r="O97" s="30"/>
      <c r="P97" s="28"/>
      <c r="Q97" s="28"/>
      <c r="R97" s="29" t="str">
        <f aca="false">IF(OR(P97="",Q97="",Q97=0),"",P97/Q97)</f>
        <v/>
      </c>
      <c r="S97" s="30"/>
      <c r="T97" s="31" t="str">
        <f aca="false">IF(OR(AA97="",H97="",H97=0),"",AA97/H97-1)</f>
        <v/>
      </c>
      <c r="U97" s="31" t="str">
        <f aca="false">IF(OR(AB97="",I97="",I97=0),"",AB97/I97-1)</f>
        <v/>
      </c>
      <c r="V97" s="32" t="str">
        <f aca="false">IF(OR(J97="",IF(R97&lt;&gt;"",R97,N97)=""),"",(IF(R97&lt;&gt;"",R97,N97)-J97)*100)</f>
        <v/>
      </c>
      <c r="W97" s="33" t="str">
        <f aca="false">IF(OR(K97="",IF(S97&lt;&gt;"",S97,O97)=""),"",K97-IF(S97&lt;&gt;"",S97,O97))</f>
        <v/>
      </c>
      <c r="X97" s="34" t="str">
        <f aca="false">IF(F97="","",IF(E97="Redirected (301)",IF(AA97="","Pending","Redirected – see target"),IF(OR(AA97="",H97=""),"Pending",IF(H97=0,IF(AA97&gt;0,"Win","Neutral"),IF(AA97&gt;=H97*(1+'How to use'!$C$15),"Win",IF(AA97&lt;=H97*(1+'How to use'!$C$16),"Loss","Neutral"))))))</f>
        <v/>
      </c>
      <c r="Y97" s="35" t="str">
        <f aca="false">IF(OR(F97="",C97=""),"",IF(P97&lt;&gt;"","Done",IF(L97&lt;&gt;"",C97+'How to use'!$C$19+'How to use'!$C$17,C97+'How to use'!$C$18+'How to use'!$C$17)))</f>
        <v/>
      </c>
      <c r="Z97" s="9"/>
      <c r="AA97" s="36" t="str">
        <f aca="false">IF(P97&lt;&gt;"",P97,IF(L97&lt;&gt;"",L97,""))</f>
        <v/>
      </c>
      <c r="AB97" s="36" t="str">
        <f aca="false">IF(Q97&lt;&gt;"",Q97,IF(M97&lt;&gt;"",M97,""))</f>
        <v/>
      </c>
    </row>
    <row r="98" customFormat="false" ht="15" hidden="false" customHeight="false" outlineLevel="0" collapsed="false">
      <c r="A98" s="9"/>
      <c r="B98" s="9"/>
      <c r="C98" s="26"/>
      <c r="D98" s="9"/>
      <c r="E98" s="9"/>
      <c r="F98" s="9"/>
      <c r="G98" s="27"/>
      <c r="H98" s="28"/>
      <c r="I98" s="28"/>
      <c r="J98" s="29" t="str">
        <f aca="false">IF(OR(H98="",I98="",I98=0),"",H98/I98)</f>
        <v/>
      </c>
      <c r="K98" s="30"/>
      <c r="L98" s="28"/>
      <c r="M98" s="28"/>
      <c r="N98" s="29" t="str">
        <f aca="false">IF(OR(L98="",M98="",M98=0),"",L98/M98)</f>
        <v/>
      </c>
      <c r="O98" s="30"/>
      <c r="P98" s="28"/>
      <c r="Q98" s="28"/>
      <c r="R98" s="29" t="str">
        <f aca="false">IF(OR(P98="",Q98="",Q98=0),"",P98/Q98)</f>
        <v/>
      </c>
      <c r="S98" s="30"/>
      <c r="T98" s="31" t="str">
        <f aca="false">IF(OR(AA98="",H98="",H98=0),"",AA98/H98-1)</f>
        <v/>
      </c>
      <c r="U98" s="31" t="str">
        <f aca="false">IF(OR(AB98="",I98="",I98=0),"",AB98/I98-1)</f>
        <v/>
      </c>
      <c r="V98" s="32" t="str">
        <f aca="false">IF(OR(J98="",IF(R98&lt;&gt;"",R98,N98)=""),"",(IF(R98&lt;&gt;"",R98,N98)-J98)*100)</f>
        <v/>
      </c>
      <c r="W98" s="33" t="str">
        <f aca="false">IF(OR(K98="",IF(S98&lt;&gt;"",S98,O98)=""),"",K98-IF(S98&lt;&gt;"",S98,O98))</f>
        <v/>
      </c>
      <c r="X98" s="34" t="str">
        <f aca="false">IF(F98="","",IF(E98="Redirected (301)",IF(AA98="","Pending","Redirected – see target"),IF(OR(AA98="",H98=""),"Pending",IF(H98=0,IF(AA98&gt;0,"Win","Neutral"),IF(AA98&gt;=H98*(1+'How to use'!$C$15),"Win",IF(AA98&lt;=H98*(1+'How to use'!$C$16),"Loss","Neutral"))))))</f>
        <v/>
      </c>
      <c r="Y98" s="35" t="str">
        <f aca="false">IF(OR(F98="",C98=""),"",IF(P98&lt;&gt;"","Done",IF(L98&lt;&gt;"",C98+'How to use'!$C$19+'How to use'!$C$17,C98+'How to use'!$C$18+'How to use'!$C$17)))</f>
        <v/>
      </c>
      <c r="Z98" s="9"/>
      <c r="AA98" s="36" t="str">
        <f aca="false">IF(P98&lt;&gt;"",P98,IF(L98&lt;&gt;"",L98,""))</f>
        <v/>
      </c>
      <c r="AB98" s="36" t="str">
        <f aca="false">IF(Q98&lt;&gt;"",Q98,IF(M98&lt;&gt;"",M98,""))</f>
        <v/>
      </c>
    </row>
    <row r="99" customFormat="false" ht="15" hidden="false" customHeight="false" outlineLevel="0" collapsed="false">
      <c r="A99" s="9"/>
      <c r="B99" s="9"/>
      <c r="C99" s="26"/>
      <c r="D99" s="9"/>
      <c r="E99" s="9"/>
      <c r="F99" s="9"/>
      <c r="G99" s="27"/>
      <c r="H99" s="28"/>
      <c r="I99" s="28"/>
      <c r="J99" s="29" t="str">
        <f aca="false">IF(OR(H99="",I99="",I99=0),"",H99/I99)</f>
        <v/>
      </c>
      <c r="K99" s="30"/>
      <c r="L99" s="28"/>
      <c r="M99" s="28"/>
      <c r="N99" s="29" t="str">
        <f aca="false">IF(OR(L99="",M99="",M99=0),"",L99/M99)</f>
        <v/>
      </c>
      <c r="O99" s="30"/>
      <c r="P99" s="28"/>
      <c r="Q99" s="28"/>
      <c r="R99" s="29" t="str">
        <f aca="false">IF(OR(P99="",Q99="",Q99=0),"",P99/Q99)</f>
        <v/>
      </c>
      <c r="S99" s="30"/>
      <c r="T99" s="31" t="str">
        <f aca="false">IF(OR(AA99="",H99="",H99=0),"",AA99/H99-1)</f>
        <v/>
      </c>
      <c r="U99" s="31" t="str">
        <f aca="false">IF(OR(AB99="",I99="",I99=0),"",AB99/I99-1)</f>
        <v/>
      </c>
      <c r="V99" s="32" t="str">
        <f aca="false">IF(OR(J99="",IF(R99&lt;&gt;"",R99,N99)=""),"",(IF(R99&lt;&gt;"",R99,N99)-J99)*100)</f>
        <v/>
      </c>
      <c r="W99" s="33" t="str">
        <f aca="false">IF(OR(K99="",IF(S99&lt;&gt;"",S99,O99)=""),"",K99-IF(S99&lt;&gt;"",S99,O99))</f>
        <v/>
      </c>
      <c r="X99" s="34" t="str">
        <f aca="false">IF(F99="","",IF(E99="Redirected (301)",IF(AA99="","Pending","Redirected – see target"),IF(OR(AA99="",H99=""),"Pending",IF(H99=0,IF(AA99&gt;0,"Win","Neutral"),IF(AA99&gt;=H99*(1+'How to use'!$C$15),"Win",IF(AA99&lt;=H99*(1+'How to use'!$C$16),"Loss","Neutral"))))))</f>
        <v/>
      </c>
      <c r="Y99" s="35" t="str">
        <f aca="false">IF(OR(F99="",C99=""),"",IF(P99&lt;&gt;"","Done",IF(L99&lt;&gt;"",C99+'How to use'!$C$19+'How to use'!$C$17,C99+'How to use'!$C$18+'How to use'!$C$17)))</f>
        <v/>
      </c>
      <c r="Z99" s="9"/>
      <c r="AA99" s="36" t="str">
        <f aca="false">IF(P99&lt;&gt;"",P99,IF(L99&lt;&gt;"",L99,""))</f>
        <v/>
      </c>
      <c r="AB99" s="36" t="str">
        <f aca="false">IF(Q99&lt;&gt;"",Q99,IF(M99&lt;&gt;"",M99,""))</f>
        <v/>
      </c>
    </row>
    <row r="100" customFormat="false" ht="15" hidden="false" customHeight="false" outlineLevel="0" collapsed="false">
      <c r="A100" s="9"/>
      <c r="B100" s="9"/>
      <c r="C100" s="26"/>
      <c r="D100" s="9"/>
      <c r="E100" s="9"/>
      <c r="F100" s="9"/>
      <c r="G100" s="27"/>
      <c r="H100" s="28"/>
      <c r="I100" s="28"/>
      <c r="J100" s="29" t="str">
        <f aca="false">IF(OR(H100="",I100="",I100=0),"",H100/I100)</f>
        <v/>
      </c>
      <c r="K100" s="30"/>
      <c r="L100" s="28"/>
      <c r="M100" s="28"/>
      <c r="N100" s="29" t="str">
        <f aca="false">IF(OR(L100="",M100="",M100=0),"",L100/M100)</f>
        <v/>
      </c>
      <c r="O100" s="30"/>
      <c r="P100" s="28"/>
      <c r="Q100" s="28"/>
      <c r="R100" s="29" t="str">
        <f aca="false">IF(OR(P100="",Q100="",Q100=0),"",P100/Q100)</f>
        <v/>
      </c>
      <c r="S100" s="30"/>
      <c r="T100" s="31" t="str">
        <f aca="false">IF(OR(AA100="",H100="",H100=0),"",AA100/H100-1)</f>
        <v/>
      </c>
      <c r="U100" s="31" t="str">
        <f aca="false">IF(OR(AB100="",I100="",I100=0),"",AB100/I100-1)</f>
        <v/>
      </c>
      <c r="V100" s="32" t="str">
        <f aca="false">IF(OR(J100="",IF(R100&lt;&gt;"",R100,N100)=""),"",(IF(R100&lt;&gt;"",R100,N100)-J100)*100)</f>
        <v/>
      </c>
      <c r="W100" s="33" t="str">
        <f aca="false">IF(OR(K100="",IF(S100&lt;&gt;"",S100,O100)=""),"",K100-IF(S100&lt;&gt;"",S100,O100))</f>
        <v/>
      </c>
      <c r="X100" s="34" t="str">
        <f aca="false">IF(F100="","",IF(E100="Redirected (301)",IF(AA100="","Pending","Redirected – see target"),IF(OR(AA100="",H100=""),"Pending",IF(H100=0,IF(AA100&gt;0,"Win","Neutral"),IF(AA100&gt;=H100*(1+'How to use'!$C$15),"Win",IF(AA100&lt;=H100*(1+'How to use'!$C$16),"Loss","Neutral"))))))</f>
        <v/>
      </c>
      <c r="Y100" s="35" t="str">
        <f aca="false">IF(OR(F100="",C100=""),"",IF(P100&lt;&gt;"","Done",IF(L100&lt;&gt;"",C100+'How to use'!$C$19+'How to use'!$C$17,C100+'How to use'!$C$18+'How to use'!$C$17)))</f>
        <v/>
      </c>
      <c r="Z100" s="9"/>
      <c r="AA100" s="36" t="str">
        <f aca="false">IF(P100&lt;&gt;"",P100,IF(L100&lt;&gt;"",L100,""))</f>
        <v/>
      </c>
      <c r="AB100" s="36" t="str">
        <f aca="false">IF(Q100&lt;&gt;"",Q100,IF(M100&lt;&gt;"",M100,""))</f>
        <v/>
      </c>
    </row>
    <row r="101" customFormat="false" ht="15" hidden="false" customHeight="false" outlineLevel="0" collapsed="false">
      <c r="A101" s="9"/>
      <c r="B101" s="9"/>
      <c r="C101" s="26"/>
      <c r="D101" s="9"/>
      <c r="E101" s="9"/>
      <c r="F101" s="9"/>
      <c r="G101" s="27"/>
      <c r="H101" s="28"/>
      <c r="I101" s="28"/>
      <c r="J101" s="29" t="str">
        <f aca="false">IF(OR(H101="",I101="",I101=0),"",H101/I101)</f>
        <v/>
      </c>
      <c r="K101" s="30"/>
      <c r="L101" s="28"/>
      <c r="M101" s="28"/>
      <c r="N101" s="29" t="str">
        <f aca="false">IF(OR(L101="",M101="",M101=0),"",L101/M101)</f>
        <v/>
      </c>
      <c r="O101" s="30"/>
      <c r="P101" s="28"/>
      <c r="Q101" s="28"/>
      <c r="R101" s="29" t="str">
        <f aca="false">IF(OR(P101="",Q101="",Q101=0),"",P101/Q101)</f>
        <v/>
      </c>
      <c r="S101" s="30"/>
      <c r="T101" s="31" t="str">
        <f aca="false">IF(OR(AA101="",H101="",H101=0),"",AA101/H101-1)</f>
        <v/>
      </c>
      <c r="U101" s="31" t="str">
        <f aca="false">IF(OR(AB101="",I101="",I101=0),"",AB101/I101-1)</f>
        <v/>
      </c>
      <c r="V101" s="32" t="str">
        <f aca="false">IF(OR(J101="",IF(R101&lt;&gt;"",R101,N101)=""),"",(IF(R101&lt;&gt;"",R101,N101)-J101)*100)</f>
        <v/>
      </c>
      <c r="W101" s="33" t="str">
        <f aca="false">IF(OR(K101="",IF(S101&lt;&gt;"",S101,O101)=""),"",K101-IF(S101&lt;&gt;"",S101,O101))</f>
        <v/>
      </c>
      <c r="X101" s="34" t="str">
        <f aca="false">IF(F101="","",IF(E101="Redirected (301)",IF(AA101="","Pending","Redirected – see target"),IF(OR(AA101="",H101=""),"Pending",IF(H101=0,IF(AA101&gt;0,"Win","Neutral"),IF(AA101&gt;=H101*(1+'How to use'!$C$15),"Win",IF(AA101&lt;=H101*(1+'How to use'!$C$16),"Loss","Neutral"))))))</f>
        <v/>
      </c>
      <c r="Y101" s="35" t="str">
        <f aca="false">IF(OR(F101="",C101=""),"",IF(P101&lt;&gt;"","Done",IF(L101&lt;&gt;"",C101+'How to use'!$C$19+'How to use'!$C$17,C101+'How to use'!$C$18+'How to use'!$C$17)))</f>
        <v/>
      </c>
      <c r="Z101" s="9"/>
      <c r="AA101" s="36" t="str">
        <f aca="false">IF(P101&lt;&gt;"",P101,IF(L101&lt;&gt;"",L101,""))</f>
        <v/>
      </c>
      <c r="AB101" s="36" t="str">
        <f aca="false">IF(Q101&lt;&gt;"",Q101,IF(M101&lt;&gt;"",M101,""))</f>
        <v/>
      </c>
    </row>
    <row r="102" customFormat="false" ht="15" hidden="false" customHeight="false" outlineLevel="0" collapsed="false">
      <c r="A102" s="9"/>
      <c r="B102" s="9"/>
      <c r="C102" s="26"/>
      <c r="D102" s="9"/>
      <c r="E102" s="9"/>
      <c r="F102" s="9"/>
      <c r="G102" s="27"/>
      <c r="H102" s="28"/>
      <c r="I102" s="28"/>
      <c r="J102" s="29" t="str">
        <f aca="false">IF(OR(H102="",I102="",I102=0),"",H102/I102)</f>
        <v/>
      </c>
      <c r="K102" s="30"/>
      <c r="L102" s="28"/>
      <c r="M102" s="28"/>
      <c r="N102" s="29" t="str">
        <f aca="false">IF(OR(L102="",M102="",M102=0),"",L102/M102)</f>
        <v/>
      </c>
      <c r="O102" s="30"/>
      <c r="P102" s="28"/>
      <c r="Q102" s="28"/>
      <c r="R102" s="29" t="str">
        <f aca="false">IF(OR(P102="",Q102="",Q102=0),"",P102/Q102)</f>
        <v/>
      </c>
      <c r="S102" s="30"/>
      <c r="T102" s="31" t="str">
        <f aca="false">IF(OR(AA102="",H102="",H102=0),"",AA102/H102-1)</f>
        <v/>
      </c>
      <c r="U102" s="31" t="str">
        <f aca="false">IF(OR(AB102="",I102="",I102=0),"",AB102/I102-1)</f>
        <v/>
      </c>
      <c r="V102" s="32" t="str">
        <f aca="false">IF(OR(J102="",IF(R102&lt;&gt;"",R102,N102)=""),"",(IF(R102&lt;&gt;"",R102,N102)-J102)*100)</f>
        <v/>
      </c>
      <c r="W102" s="33" t="str">
        <f aca="false">IF(OR(K102="",IF(S102&lt;&gt;"",S102,O102)=""),"",K102-IF(S102&lt;&gt;"",S102,O102))</f>
        <v/>
      </c>
      <c r="X102" s="34" t="str">
        <f aca="false">IF(F102="","",IF(E102="Redirected (301)",IF(AA102="","Pending","Redirected – see target"),IF(OR(AA102="",H102=""),"Pending",IF(H102=0,IF(AA102&gt;0,"Win","Neutral"),IF(AA102&gt;=H102*(1+'How to use'!$C$15),"Win",IF(AA102&lt;=H102*(1+'How to use'!$C$16),"Loss","Neutral"))))))</f>
        <v/>
      </c>
      <c r="Y102" s="35" t="str">
        <f aca="false">IF(OR(F102="",C102=""),"",IF(P102&lt;&gt;"","Done",IF(L102&lt;&gt;"",C102+'How to use'!$C$19+'How to use'!$C$17,C102+'How to use'!$C$18+'How to use'!$C$17)))</f>
        <v/>
      </c>
      <c r="Z102" s="9"/>
      <c r="AA102" s="36" t="str">
        <f aca="false">IF(P102&lt;&gt;"",P102,IF(L102&lt;&gt;"",L102,""))</f>
        <v/>
      </c>
      <c r="AB102" s="36" t="str">
        <f aca="false">IF(Q102&lt;&gt;"",Q102,IF(M102&lt;&gt;"",M102,""))</f>
        <v/>
      </c>
    </row>
    <row r="103" customFormat="false" ht="15" hidden="false" customHeight="false" outlineLevel="0" collapsed="false">
      <c r="A103" s="9"/>
      <c r="B103" s="9"/>
      <c r="C103" s="26"/>
      <c r="D103" s="9"/>
      <c r="E103" s="9"/>
      <c r="F103" s="9"/>
      <c r="G103" s="27"/>
      <c r="H103" s="28"/>
      <c r="I103" s="28"/>
      <c r="J103" s="29" t="str">
        <f aca="false">IF(OR(H103="",I103="",I103=0),"",H103/I103)</f>
        <v/>
      </c>
      <c r="K103" s="30"/>
      <c r="L103" s="28"/>
      <c r="M103" s="28"/>
      <c r="N103" s="29" t="str">
        <f aca="false">IF(OR(L103="",M103="",M103=0),"",L103/M103)</f>
        <v/>
      </c>
      <c r="O103" s="30"/>
      <c r="P103" s="28"/>
      <c r="Q103" s="28"/>
      <c r="R103" s="29" t="str">
        <f aca="false">IF(OR(P103="",Q103="",Q103=0),"",P103/Q103)</f>
        <v/>
      </c>
      <c r="S103" s="30"/>
      <c r="T103" s="31" t="str">
        <f aca="false">IF(OR(AA103="",H103="",H103=0),"",AA103/H103-1)</f>
        <v/>
      </c>
      <c r="U103" s="31" t="str">
        <f aca="false">IF(OR(AB103="",I103="",I103=0),"",AB103/I103-1)</f>
        <v/>
      </c>
      <c r="V103" s="32" t="str">
        <f aca="false">IF(OR(J103="",IF(R103&lt;&gt;"",R103,N103)=""),"",(IF(R103&lt;&gt;"",R103,N103)-J103)*100)</f>
        <v/>
      </c>
      <c r="W103" s="33" t="str">
        <f aca="false">IF(OR(K103="",IF(S103&lt;&gt;"",S103,O103)=""),"",K103-IF(S103&lt;&gt;"",S103,O103))</f>
        <v/>
      </c>
      <c r="X103" s="34" t="str">
        <f aca="false">IF(F103="","",IF(E103="Redirected (301)",IF(AA103="","Pending","Redirected – see target"),IF(OR(AA103="",H103=""),"Pending",IF(H103=0,IF(AA103&gt;0,"Win","Neutral"),IF(AA103&gt;=H103*(1+'How to use'!$C$15),"Win",IF(AA103&lt;=H103*(1+'How to use'!$C$16),"Loss","Neutral"))))))</f>
        <v/>
      </c>
      <c r="Y103" s="35" t="str">
        <f aca="false">IF(OR(F103="",C103=""),"",IF(P103&lt;&gt;"","Done",IF(L103&lt;&gt;"",C103+'How to use'!$C$19+'How to use'!$C$17,C103+'How to use'!$C$18+'How to use'!$C$17)))</f>
        <v/>
      </c>
      <c r="Z103" s="9"/>
      <c r="AA103" s="36" t="str">
        <f aca="false">IF(P103&lt;&gt;"",P103,IF(L103&lt;&gt;"",L103,""))</f>
        <v/>
      </c>
      <c r="AB103" s="36" t="str">
        <f aca="false">IF(Q103&lt;&gt;"",Q103,IF(M103&lt;&gt;"",M103,""))</f>
        <v/>
      </c>
    </row>
    <row r="104" customFormat="false" ht="15" hidden="false" customHeight="false" outlineLevel="0" collapsed="false">
      <c r="A104" s="9"/>
      <c r="B104" s="9"/>
      <c r="C104" s="26"/>
      <c r="D104" s="9"/>
      <c r="E104" s="9"/>
      <c r="F104" s="9"/>
      <c r="G104" s="27"/>
      <c r="H104" s="28"/>
      <c r="I104" s="28"/>
      <c r="J104" s="29" t="str">
        <f aca="false">IF(OR(H104="",I104="",I104=0),"",H104/I104)</f>
        <v/>
      </c>
      <c r="K104" s="30"/>
      <c r="L104" s="28"/>
      <c r="M104" s="28"/>
      <c r="N104" s="29" t="str">
        <f aca="false">IF(OR(L104="",M104="",M104=0),"",L104/M104)</f>
        <v/>
      </c>
      <c r="O104" s="30"/>
      <c r="P104" s="28"/>
      <c r="Q104" s="28"/>
      <c r="R104" s="29" t="str">
        <f aca="false">IF(OR(P104="",Q104="",Q104=0),"",P104/Q104)</f>
        <v/>
      </c>
      <c r="S104" s="30"/>
      <c r="T104" s="31" t="str">
        <f aca="false">IF(OR(AA104="",H104="",H104=0),"",AA104/H104-1)</f>
        <v/>
      </c>
      <c r="U104" s="31" t="str">
        <f aca="false">IF(OR(AB104="",I104="",I104=0),"",AB104/I104-1)</f>
        <v/>
      </c>
      <c r="V104" s="32" t="str">
        <f aca="false">IF(OR(J104="",IF(R104&lt;&gt;"",R104,N104)=""),"",(IF(R104&lt;&gt;"",R104,N104)-J104)*100)</f>
        <v/>
      </c>
      <c r="W104" s="33" t="str">
        <f aca="false">IF(OR(K104="",IF(S104&lt;&gt;"",S104,O104)=""),"",K104-IF(S104&lt;&gt;"",S104,O104))</f>
        <v/>
      </c>
      <c r="X104" s="34" t="str">
        <f aca="false">IF(F104="","",IF(E104="Redirected (301)",IF(AA104="","Pending","Redirected – see target"),IF(OR(AA104="",H104=""),"Pending",IF(H104=0,IF(AA104&gt;0,"Win","Neutral"),IF(AA104&gt;=H104*(1+'How to use'!$C$15),"Win",IF(AA104&lt;=H104*(1+'How to use'!$C$16),"Loss","Neutral"))))))</f>
        <v/>
      </c>
      <c r="Y104" s="35" t="str">
        <f aca="false">IF(OR(F104="",C104=""),"",IF(P104&lt;&gt;"","Done",IF(L104&lt;&gt;"",C104+'How to use'!$C$19+'How to use'!$C$17,C104+'How to use'!$C$18+'How to use'!$C$17)))</f>
        <v/>
      </c>
      <c r="Z104" s="9"/>
      <c r="AA104" s="36" t="str">
        <f aca="false">IF(P104&lt;&gt;"",P104,IF(L104&lt;&gt;"",L104,""))</f>
        <v/>
      </c>
      <c r="AB104" s="36" t="str">
        <f aca="false">IF(Q104&lt;&gt;"",Q104,IF(M104&lt;&gt;"",M104,""))</f>
        <v/>
      </c>
    </row>
    <row r="105" customFormat="false" ht="15" hidden="false" customHeight="false" outlineLevel="0" collapsed="false">
      <c r="A105" s="9"/>
      <c r="B105" s="9"/>
      <c r="C105" s="26"/>
      <c r="D105" s="9"/>
      <c r="E105" s="9"/>
      <c r="F105" s="9"/>
      <c r="G105" s="27"/>
      <c r="H105" s="28"/>
      <c r="I105" s="28"/>
      <c r="J105" s="29" t="str">
        <f aca="false">IF(OR(H105="",I105="",I105=0),"",H105/I105)</f>
        <v/>
      </c>
      <c r="K105" s="30"/>
      <c r="L105" s="28"/>
      <c r="M105" s="28"/>
      <c r="N105" s="29" t="str">
        <f aca="false">IF(OR(L105="",M105="",M105=0),"",L105/M105)</f>
        <v/>
      </c>
      <c r="O105" s="30"/>
      <c r="P105" s="28"/>
      <c r="Q105" s="28"/>
      <c r="R105" s="29" t="str">
        <f aca="false">IF(OR(P105="",Q105="",Q105=0),"",P105/Q105)</f>
        <v/>
      </c>
      <c r="S105" s="30"/>
      <c r="T105" s="31" t="str">
        <f aca="false">IF(OR(AA105="",H105="",H105=0),"",AA105/H105-1)</f>
        <v/>
      </c>
      <c r="U105" s="31" t="str">
        <f aca="false">IF(OR(AB105="",I105="",I105=0),"",AB105/I105-1)</f>
        <v/>
      </c>
      <c r="V105" s="32" t="str">
        <f aca="false">IF(OR(J105="",IF(R105&lt;&gt;"",R105,N105)=""),"",(IF(R105&lt;&gt;"",R105,N105)-J105)*100)</f>
        <v/>
      </c>
      <c r="W105" s="33" t="str">
        <f aca="false">IF(OR(K105="",IF(S105&lt;&gt;"",S105,O105)=""),"",K105-IF(S105&lt;&gt;"",S105,O105))</f>
        <v/>
      </c>
      <c r="X105" s="34" t="str">
        <f aca="false">IF(F105="","",IF(E105="Redirected (301)",IF(AA105="","Pending","Redirected – see target"),IF(OR(AA105="",H105=""),"Pending",IF(H105=0,IF(AA105&gt;0,"Win","Neutral"),IF(AA105&gt;=H105*(1+'How to use'!$C$15),"Win",IF(AA105&lt;=H105*(1+'How to use'!$C$16),"Loss","Neutral"))))))</f>
        <v/>
      </c>
      <c r="Y105" s="35" t="str">
        <f aca="false">IF(OR(F105="",C105=""),"",IF(P105&lt;&gt;"","Done",IF(L105&lt;&gt;"",C105+'How to use'!$C$19+'How to use'!$C$17,C105+'How to use'!$C$18+'How to use'!$C$17)))</f>
        <v/>
      </c>
      <c r="Z105" s="9"/>
      <c r="AA105" s="36" t="str">
        <f aca="false">IF(P105&lt;&gt;"",P105,IF(L105&lt;&gt;"",L105,""))</f>
        <v/>
      </c>
      <c r="AB105" s="36" t="str">
        <f aca="false">IF(Q105&lt;&gt;"",Q105,IF(M105&lt;&gt;"",M105,""))</f>
        <v/>
      </c>
    </row>
    <row r="106" customFormat="false" ht="15" hidden="false" customHeight="false" outlineLevel="0" collapsed="false">
      <c r="A106" s="9"/>
      <c r="B106" s="9"/>
      <c r="C106" s="26"/>
      <c r="D106" s="9"/>
      <c r="E106" s="9"/>
      <c r="F106" s="9"/>
      <c r="G106" s="27"/>
      <c r="H106" s="28"/>
      <c r="I106" s="28"/>
      <c r="J106" s="29" t="str">
        <f aca="false">IF(OR(H106="",I106="",I106=0),"",H106/I106)</f>
        <v/>
      </c>
      <c r="K106" s="30"/>
      <c r="L106" s="28"/>
      <c r="M106" s="28"/>
      <c r="N106" s="29" t="str">
        <f aca="false">IF(OR(L106="",M106="",M106=0),"",L106/M106)</f>
        <v/>
      </c>
      <c r="O106" s="30"/>
      <c r="P106" s="28"/>
      <c r="Q106" s="28"/>
      <c r="R106" s="29" t="str">
        <f aca="false">IF(OR(P106="",Q106="",Q106=0),"",P106/Q106)</f>
        <v/>
      </c>
      <c r="S106" s="30"/>
      <c r="T106" s="31" t="str">
        <f aca="false">IF(OR(AA106="",H106="",H106=0),"",AA106/H106-1)</f>
        <v/>
      </c>
      <c r="U106" s="31" t="str">
        <f aca="false">IF(OR(AB106="",I106="",I106=0),"",AB106/I106-1)</f>
        <v/>
      </c>
      <c r="V106" s="32" t="str">
        <f aca="false">IF(OR(J106="",IF(R106&lt;&gt;"",R106,N106)=""),"",(IF(R106&lt;&gt;"",R106,N106)-J106)*100)</f>
        <v/>
      </c>
      <c r="W106" s="33" t="str">
        <f aca="false">IF(OR(K106="",IF(S106&lt;&gt;"",S106,O106)=""),"",K106-IF(S106&lt;&gt;"",S106,O106))</f>
        <v/>
      </c>
      <c r="X106" s="34" t="str">
        <f aca="false">IF(F106="","",IF(E106="Redirected (301)",IF(AA106="","Pending","Redirected – see target"),IF(OR(AA106="",H106=""),"Pending",IF(H106=0,IF(AA106&gt;0,"Win","Neutral"),IF(AA106&gt;=H106*(1+'How to use'!$C$15),"Win",IF(AA106&lt;=H106*(1+'How to use'!$C$16),"Loss","Neutral"))))))</f>
        <v/>
      </c>
      <c r="Y106" s="35" t="str">
        <f aca="false">IF(OR(F106="",C106=""),"",IF(P106&lt;&gt;"","Done",IF(L106&lt;&gt;"",C106+'How to use'!$C$19+'How to use'!$C$17,C106+'How to use'!$C$18+'How to use'!$C$17)))</f>
        <v/>
      </c>
      <c r="Z106" s="9"/>
      <c r="AA106" s="36" t="str">
        <f aca="false">IF(P106&lt;&gt;"",P106,IF(L106&lt;&gt;"",L106,""))</f>
        <v/>
      </c>
      <c r="AB106" s="36" t="str">
        <f aca="false">IF(Q106&lt;&gt;"",Q106,IF(M106&lt;&gt;"",M106,""))</f>
        <v/>
      </c>
    </row>
    <row r="107" customFormat="false" ht="15" hidden="false" customHeight="false" outlineLevel="0" collapsed="false">
      <c r="A107" s="9"/>
      <c r="B107" s="9"/>
      <c r="C107" s="26"/>
      <c r="D107" s="9"/>
      <c r="E107" s="9"/>
      <c r="F107" s="9"/>
      <c r="G107" s="27"/>
      <c r="H107" s="28"/>
      <c r="I107" s="28"/>
      <c r="J107" s="29" t="str">
        <f aca="false">IF(OR(H107="",I107="",I107=0),"",H107/I107)</f>
        <v/>
      </c>
      <c r="K107" s="30"/>
      <c r="L107" s="28"/>
      <c r="M107" s="28"/>
      <c r="N107" s="29" t="str">
        <f aca="false">IF(OR(L107="",M107="",M107=0),"",L107/M107)</f>
        <v/>
      </c>
      <c r="O107" s="30"/>
      <c r="P107" s="28"/>
      <c r="Q107" s="28"/>
      <c r="R107" s="29" t="str">
        <f aca="false">IF(OR(P107="",Q107="",Q107=0),"",P107/Q107)</f>
        <v/>
      </c>
      <c r="S107" s="30"/>
      <c r="T107" s="31" t="str">
        <f aca="false">IF(OR(AA107="",H107="",H107=0),"",AA107/H107-1)</f>
        <v/>
      </c>
      <c r="U107" s="31" t="str">
        <f aca="false">IF(OR(AB107="",I107="",I107=0),"",AB107/I107-1)</f>
        <v/>
      </c>
      <c r="V107" s="32" t="str">
        <f aca="false">IF(OR(J107="",IF(R107&lt;&gt;"",R107,N107)=""),"",(IF(R107&lt;&gt;"",R107,N107)-J107)*100)</f>
        <v/>
      </c>
      <c r="W107" s="33" t="str">
        <f aca="false">IF(OR(K107="",IF(S107&lt;&gt;"",S107,O107)=""),"",K107-IF(S107&lt;&gt;"",S107,O107))</f>
        <v/>
      </c>
      <c r="X107" s="34" t="str">
        <f aca="false">IF(F107="","",IF(E107="Redirected (301)",IF(AA107="","Pending","Redirected – see target"),IF(OR(AA107="",H107=""),"Pending",IF(H107=0,IF(AA107&gt;0,"Win","Neutral"),IF(AA107&gt;=H107*(1+'How to use'!$C$15),"Win",IF(AA107&lt;=H107*(1+'How to use'!$C$16),"Loss","Neutral"))))))</f>
        <v/>
      </c>
      <c r="Y107" s="35" t="str">
        <f aca="false">IF(OR(F107="",C107=""),"",IF(P107&lt;&gt;"","Done",IF(L107&lt;&gt;"",C107+'How to use'!$C$19+'How to use'!$C$17,C107+'How to use'!$C$18+'How to use'!$C$17)))</f>
        <v/>
      </c>
      <c r="Z107" s="9"/>
      <c r="AA107" s="36" t="str">
        <f aca="false">IF(P107&lt;&gt;"",P107,IF(L107&lt;&gt;"",L107,""))</f>
        <v/>
      </c>
      <c r="AB107" s="36" t="str">
        <f aca="false">IF(Q107&lt;&gt;"",Q107,IF(M107&lt;&gt;"",M107,""))</f>
        <v/>
      </c>
    </row>
    <row r="108" customFormat="false" ht="15" hidden="false" customHeight="false" outlineLevel="0" collapsed="false">
      <c r="A108" s="9"/>
      <c r="B108" s="9"/>
      <c r="C108" s="26"/>
      <c r="D108" s="9"/>
      <c r="E108" s="9"/>
      <c r="F108" s="9"/>
      <c r="G108" s="27"/>
      <c r="H108" s="28"/>
      <c r="I108" s="28"/>
      <c r="J108" s="29" t="str">
        <f aca="false">IF(OR(H108="",I108="",I108=0),"",H108/I108)</f>
        <v/>
      </c>
      <c r="K108" s="30"/>
      <c r="L108" s="28"/>
      <c r="M108" s="28"/>
      <c r="N108" s="29" t="str">
        <f aca="false">IF(OR(L108="",M108="",M108=0),"",L108/M108)</f>
        <v/>
      </c>
      <c r="O108" s="30"/>
      <c r="P108" s="28"/>
      <c r="Q108" s="28"/>
      <c r="R108" s="29" t="str">
        <f aca="false">IF(OR(P108="",Q108="",Q108=0),"",P108/Q108)</f>
        <v/>
      </c>
      <c r="S108" s="30"/>
      <c r="T108" s="31" t="str">
        <f aca="false">IF(OR(AA108="",H108="",H108=0),"",AA108/H108-1)</f>
        <v/>
      </c>
      <c r="U108" s="31" t="str">
        <f aca="false">IF(OR(AB108="",I108="",I108=0),"",AB108/I108-1)</f>
        <v/>
      </c>
      <c r="V108" s="32" t="str">
        <f aca="false">IF(OR(J108="",IF(R108&lt;&gt;"",R108,N108)=""),"",(IF(R108&lt;&gt;"",R108,N108)-J108)*100)</f>
        <v/>
      </c>
      <c r="W108" s="33" t="str">
        <f aca="false">IF(OR(K108="",IF(S108&lt;&gt;"",S108,O108)=""),"",K108-IF(S108&lt;&gt;"",S108,O108))</f>
        <v/>
      </c>
      <c r="X108" s="34" t="str">
        <f aca="false">IF(F108="","",IF(E108="Redirected (301)",IF(AA108="","Pending","Redirected – see target"),IF(OR(AA108="",H108=""),"Pending",IF(H108=0,IF(AA108&gt;0,"Win","Neutral"),IF(AA108&gt;=H108*(1+'How to use'!$C$15),"Win",IF(AA108&lt;=H108*(1+'How to use'!$C$16),"Loss","Neutral"))))))</f>
        <v/>
      </c>
      <c r="Y108" s="35" t="str">
        <f aca="false">IF(OR(F108="",C108=""),"",IF(P108&lt;&gt;"","Done",IF(L108&lt;&gt;"",C108+'How to use'!$C$19+'How to use'!$C$17,C108+'How to use'!$C$18+'How to use'!$C$17)))</f>
        <v/>
      </c>
      <c r="Z108" s="9"/>
      <c r="AA108" s="36" t="str">
        <f aca="false">IF(P108&lt;&gt;"",P108,IF(L108&lt;&gt;"",L108,""))</f>
        <v/>
      </c>
      <c r="AB108" s="36" t="str">
        <f aca="false">IF(Q108&lt;&gt;"",Q108,IF(M108&lt;&gt;"",M108,""))</f>
        <v/>
      </c>
    </row>
    <row r="109" customFormat="false" ht="15" hidden="false" customHeight="false" outlineLevel="0" collapsed="false">
      <c r="A109" s="9"/>
      <c r="B109" s="9"/>
      <c r="C109" s="26"/>
      <c r="D109" s="9"/>
      <c r="E109" s="9"/>
      <c r="F109" s="9"/>
      <c r="G109" s="27"/>
      <c r="H109" s="28"/>
      <c r="I109" s="28"/>
      <c r="J109" s="29" t="str">
        <f aca="false">IF(OR(H109="",I109="",I109=0),"",H109/I109)</f>
        <v/>
      </c>
      <c r="K109" s="30"/>
      <c r="L109" s="28"/>
      <c r="M109" s="28"/>
      <c r="N109" s="29" t="str">
        <f aca="false">IF(OR(L109="",M109="",M109=0),"",L109/M109)</f>
        <v/>
      </c>
      <c r="O109" s="30"/>
      <c r="P109" s="28"/>
      <c r="Q109" s="28"/>
      <c r="R109" s="29" t="str">
        <f aca="false">IF(OR(P109="",Q109="",Q109=0),"",P109/Q109)</f>
        <v/>
      </c>
      <c r="S109" s="30"/>
      <c r="T109" s="31" t="str">
        <f aca="false">IF(OR(AA109="",H109="",H109=0),"",AA109/H109-1)</f>
        <v/>
      </c>
      <c r="U109" s="31" t="str">
        <f aca="false">IF(OR(AB109="",I109="",I109=0),"",AB109/I109-1)</f>
        <v/>
      </c>
      <c r="V109" s="32" t="str">
        <f aca="false">IF(OR(J109="",IF(R109&lt;&gt;"",R109,N109)=""),"",(IF(R109&lt;&gt;"",R109,N109)-J109)*100)</f>
        <v/>
      </c>
      <c r="W109" s="33" t="str">
        <f aca="false">IF(OR(K109="",IF(S109&lt;&gt;"",S109,O109)=""),"",K109-IF(S109&lt;&gt;"",S109,O109))</f>
        <v/>
      </c>
      <c r="X109" s="34" t="str">
        <f aca="false">IF(F109="","",IF(E109="Redirected (301)",IF(AA109="","Pending","Redirected – see target"),IF(OR(AA109="",H109=""),"Pending",IF(H109=0,IF(AA109&gt;0,"Win","Neutral"),IF(AA109&gt;=H109*(1+'How to use'!$C$15),"Win",IF(AA109&lt;=H109*(1+'How to use'!$C$16),"Loss","Neutral"))))))</f>
        <v/>
      </c>
      <c r="Y109" s="35" t="str">
        <f aca="false">IF(OR(F109="",C109=""),"",IF(P109&lt;&gt;"","Done",IF(L109&lt;&gt;"",C109+'How to use'!$C$19+'How to use'!$C$17,C109+'How to use'!$C$18+'How to use'!$C$17)))</f>
        <v/>
      </c>
      <c r="Z109" s="9"/>
      <c r="AA109" s="36" t="str">
        <f aca="false">IF(P109&lt;&gt;"",P109,IF(L109&lt;&gt;"",L109,""))</f>
        <v/>
      </c>
      <c r="AB109" s="36" t="str">
        <f aca="false">IF(Q109&lt;&gt;"",Q109,IF(M109&lt;&gt;"",M109,""))</f>
        <v/>
      </c>
    </row>
    <row r="110" customFormat="false" ht="15" hidden="false" customHeight="false" outlineLevel="0" collapsed="false">
      <c r="A110" s="9"/>
      <c r="B110" s="9"/>
      <c r="C110" s="26"/>
      <c r="D110" s="9"/>
      <c r="E110" s="9"/>
      <c r="F110" s="9"/>
      <c r="G110" s="27"/>
      <c r="H110" s="28"/>
      <c r="I110" s="28"/>
      <c r="J110" s="29" t="str">
        <f aca="false">IF(OR(H110="",I110="",I110=0),"",H110/I110)</f>
        <v/>
      </c>
      <c r="K110" s="30"/>
      <c r="L110" s="28"/>
      <c r="M110" s="28"/>
      <c r="N110" s="29" t="str">
        <f aca="false">IF(OR(L110="",M110="",M110=0),"",L110/M110)</f>
        <v/>
      </c>
      <c r="O110" s="30"/>
      <c r="P110" s="28"/>
      <c r="Q110" s="28"/>
      <c r="R110" s="29" t="str">
        <f aca="false">IF(OR(P110="",Q110="",Q110=0),"",P110/Q110)</f>
        <v/>
      </c>
      <c r="S110" s="30"/>
      <c r="T110" s="31" t="str">
        <f aca="false">IF(OR(AA110="",H110="",H110=0),"",AA110/H110-1)</f>
        <v/>
      </c>
      <c r="U110" s="31" t="str">
        <f aca="false">IF(OR(AB110="",I110="",I110=0),"",AB110/I110-1)</f>
        <v/>
      </c>
      <c r="V110" s="32" t="str">
        <f aca="false">IF(OR(J110="",IF(R110&lt;&gt;"",R110,N110)=""),"",(IF(R110&lt;&gt;"",R110,N110)-J110)*100)</f>
        <v/>
      </c>
      <c r="W110" s="33" t="str">
        <f aca="false">IF(OR(K110="",IF(S110&lt;&gt;"",S110,O110)=""),"",K110-IF(S110&lt;&gt;"",S110,O110))</f>
        <v/>
      </c>
      <c r="X110" s="34" t="str">
        <f aca="false">IF(F110="","",IF(E110="Redirected (301)",IF(AA110="","Pending","Redirected – see target"),IF(OR(AA110="",H110=""),"Pending",IF(H110=0,IF(AA110&gt;0,"Win","Neutral"),IF(AA110&gt;=H110*(1+'How to use'!$C$15),"Win",IF(AA110&lt;=H110*(1+'How to use'!$C$16),"Loss","Neutral"))))))</f>
        <v/>
      </c>
      <c r="Y110" s="35" t="str">
        <f aca="false">IF(OR(F110="",C110=""),"",IF(P110&lt;&gt;"","Done",IF(L110&lt;&gt;"",C110+'How to use'!$C$19+'How to use'!$C$17,C110+'How to use'!$C$18+'How to use'!$C$17)))</f>
        <v/>
      </c>
      <c r="Z110" s="9"/>
      <c r="AA110" s="36" t="str">
        <f aca="false">IF(P110&lt;&gt;"",P110,IF(L110&lt;&gt;"",L110,""))</f>
        <v/>
      </c>
      <c r="AB110" s="36" t="str">
        <f aca="false">IF(Q110&lt;&gt;"",Q110,IF(M110&lt;&gt;"",M110,""))</f>
        <v/>
      </c>
    </row>
    <row r="111" customFormat="false" ht="15" hidden="false" customHeight="false" outlineLevel="0" collapsed="false">
      <c r="A111" s="9"/>
      <c r="B111" s="9"/>
      <c r="C111" s="26"/>
      <c r="D111" s="9"/>
      <c r="E111" s="9"/>
      <c r="F111" s="9"/>
      <c r="G111" s="27"/>
      <c r="H111" s="28"/>
      <c r="I111" s="28"/>
      <c r="J111" s="29" t="str">
        <f aca="false">IF(OR(H111="",I111="",I111=0),"",H111/I111)</f>
        <v/>
      </c>
      <c r="K111" s="30"/>
      <c r="L111" s="28"/>
      <c r="M111" s="28"/>
      <c r="N111" s="29" t="str">
        <f aca="false">IF(OR(L111="",M111="",M111=0),"",L111/M111)</f>
        <v/>
      </c>
      <c r="O111" s="30"/>
      <c r="P111" s="28"/>
      <c r="Q111" s="28"/>
      <c r="R111" s="29" t="str">
        <f aca="false">IF(OR(P111="",Q111="",Q111=0),"",P111/Q111)</f>
        <v/>
      </c>
      <c r="S111" s="30"/>
      <c r="T111" s="31" t="str">
        <f aca="false">IF(OR(AA111="",H111="",H111=0),"",AA111/H111-1)</f>
        <v/>
      </c>
      <c r="U111" s="31" t="str">
        <f aca="false">IF(OR(AB111="",I111="",I111=0),"",AB111/I111-1)</f>
        <v/>
      </c>
      <c r="V111" s="32" t="str">
        <f aca="false">IF(OR(J111="",IF(R111&lt;&gt;"",R111,N111)=""),"",(IF(R111&lt;&gt;"",R111,N111)-J111)*100)</f>
        <v/>
      </c>
      <c r="W111" s="33" t="str">
        <f aca="false">IF(OR(K111="",IF(S111&lt;&gt;"",S111,O111)=""),"",K111-IF(S111&lt;&gt;"",S111,O111))</f>
        <v/>
      </c>
      <c r="X111" s="34" t="str">
        <f aca="false">IF(F111="","",IF(E111="Redirected (301)",IF(AA111="","Pending","Redirected – see target"),IF(OR(AA111="",H111=""),"Pending",IF(H111=0,IF(AA111&gt;0,"Win","Neutral"),IF(AA111&gt;=H111*(1+'How to use'!$C$15),"Win",IF(AA111&lt;=H111*(1+'How to use'!$C$16),"Loss","Neutral"))))))</f>
        <v/>
      </c>
      <c r="Y111" s="35" t="str">
        <f aca="false">IF(OR(F111="",C111=""),"",IF(P111&lt;&gt;"","Done",IF(L111&lt;&gt;"",C111+'How to use'!$C$19+'How to use'!$C$17,C111+'How to use'!$C$18+'How to use'!$C$17)))</f>
        <v/>
      </c>
      <c r="Z111" s="9"/>
      <c r="AA111" s="36" t="str">
        <f aca="false">IF(P111&lt;&gt;"",P111,IF(L111&lt;&gt;"",L111,""))</f>
        <v/>
      </c>
      <c r="AB111" s="36" t="str">
        <f aca="false">IF(Q111&lt;&gt;"",Q111,IF(M111&lt;&gt;"",M111,""))</f>
        <v/>
      </c>
    </row>
    <row r="112" customFormat="false" ht="15" hidden="false" customHeight="false" outlineLevel="0" collapsed="false">
      <c r="A112" s="9"/>
      <c r="B112" s="9"/>
      <c r="C112" s="26"/>
      <c r="D112" s="9"/>
      <c r="E112" s="9"/>
      <c r="F112" s="9"/>
      <c r="G112" s="27"/>
      <c r="H112" s="28"/>
      <c r="I112" s="28"/>
      <c r="J112" s="29" t="str">
        <f aca="false">IF(OR(H112="",I112="",I112=0),"",H112/I112)</f>
        <v/>
      </c>
      <c r="K112" s="30"/>
      <c r="L112" s="28"/>
      <c r="M112" s="28"/>
      <c r="N112" s="29" t="str">
        <f aca="false">IF(OR(L112="",M112="",M112=0),"",L112/M112)</f>
        <v/>
      </c>
      <c r="O112" s="30"/>
      <c r="P112" s="28"/>
      <c r="Q112" s="28"/>
      <c r="R112" s="29" t="str">
        <f aca="false">IF(OR(P112="",Q112="",Q112=0),"",P112/Q112)</f>
        <v/>
      </c>
      <c r="S112" s="30"/>
      <c r="T112" s="31" t="str">
        <f aca="false">IF(OR(AA112="",H112="",H112=0),"",AA112/H112-1)</f>
        <v/>
      </c>
      <c r="U112" s="31" t="str">
        <f aca="false">IF(OR(AB112="",I112="",I112=0),"",AB112/I112-1)</f>
        <v/>
      </c>
      <c r="V112" s="32" t="str">
        <f aca="false">IF(OR(J112="",IF(R112&lt;&gt;"",R112,N112)=""),"",(IF(R112&lt;&gt;"",R112,N112)-J112)*100)</f>
        <v/>
      </c>
      <c r="W112" s="33" t="str">
        <f aca="false">IF(OR(K112="",IF(S112&lt;&gt;"",S112,O112)=""),"",K112-IF(S112&lt;&gt;"",S112,O112))</f>
        <v/>
      </c>
      <c r="X112" s="34" t="str">
        <f aca="false">IF(F112="","",IF(E112="Redirected (301)",IF(AA112="","Pending","Redirected – see target"),IF(OR(AA112="",H112=""),"Pending",IF(H112=0,IF(AA112&gt;0,"Win","Neutral"),IF(AA112&gt;=H112*(1+'How to use'!$C$15),"Win",IF(AA112&lt;=H112*(1+'How to use'!$C$16),"Loss","Neutral"))))))</f>
        <v/>
      </c>
      <c r="Y112" s="35" t="str">
        <f aca="false">IF(OR(F112="",C112=""),"",IF(P112&lt;&gt;"","Done",IF(L112&lt;&gt;"",C112+'How to use'!$C$19+'How to use'!$C$17,C112+'How to use'!$C$18+'How to use'!$C$17)))</f>
        <v/>
      </c>
      <c r="Z112" s="9"/>
      <c r="AA112" s="36" t="str">
        <f aca="false">IF(P112&lt;&gt;"",P112,IF(L112&lt;&gt;"",L112,""))</f>
        <v/>
      </c>
      <c r="AB112" s="36" t="str">
        <f aca="false">IF(Q112&lt;&gt;"",Q112,IF(M112&lt;&gt;"",M112,""))</f>
        <v/>
      </c>
    </row>
    <row r="113" customFormat="false" ht="15" hidden="false" customHeight="false" outlineLevel="0" collapsed="false">
      <c r="A113" s="9"/>
      <c r="B113" s="9"/>
      <c r="C113" s="26"/>
      <c r="D113" s="9"/>
      <c r="E113" s="9"/>
      <c r="F113" s="9"/>
      <c r="G113" s="27"/>
      <c r="H113" s="28"/>
      <c r="I113" s="28"/>
      <c r="J113" s="29" t="str">
        <f aca="false">IF(OR(H113="",I113="",I113=0),"",H113/I113)</f>
        <v/>
      </c>
      <c r="K113" s="30"/>
      <c r="L113" s="28"/>
      <c r="M113" s="28"/>
      <c r="N113" s="29" t="str">
        <f aca="false">IF(OR(L113="",M113="",M113=0),"",L113/M113)</f>
        <v/>
      </c>
      <c r="O113" s="30"/>
      <c r="P113" s="28"/>
      <c r="Q113" s="28"/>
      <c r="R113" s="29" t="str">
        <f aca="false">IF(OR(P113="",Q113="",Q113=0),"",P113/Q113)</f>
        <v/>
      </c>
      <c r="S113" s="30"/>
      <c r="T113" s="31" t="str">
        <f aca="false">IF(OR(AA113="",H113="",H113=0),"",AA113/H113-1)</f>
        <v/>
      </c>
      <c r="U113" s="31" t="str">
        <f aca="false">IF(OR(AB113="",I113="",I113=0),"",AB113/I113-1)</f>
        <v/>
      </c>
      <c r="V113" s="32" t="str">
        <f aca="false">IF(OR(J113="",IF(R113&lt;&gt;"",R113,N113)=""),"",(IF(R113&lt;&gt;"",R113,N113)-J113)*100)</f>
        <v/>
      </c>
      <c r="W113" s="33" t="str">
        <f aca="false">IF(OR(K113="",IF(S113&lt;&gt;"",S113,O113)=""),"",K113-IF(S113&lt;&gt;"",S113,O113))</f>
        <v/>
      </c>
      <c r="X113" s="34" t="str">
        <f aca="false">IF(F113="","",IF(E113="Redirected (301)",IF(AA113="","Pending","Redirected – see target"),IF(OR(AA113="",H113=""),"Pending",IF(H113=0,IF(AA113&gt;0,"Win","Neutral"),IF(AA113&gt;=H113*(1+'How to use'!$C$15),"Win",IF(AA113&lt;=H113*(1+'How to use'!$C$16),"Loss","Neutral"))))))</f>
        <v/>
      </c>
      <c r="Y113" s="35" t="str">
        <f aca="false">IF(OR(F113="",C113=""),"",IF(P113&lt;&gt;"","Done",IF(L113&lt;&gt;"",C113+'How to use'!$C$19+'How to use'!$C$17,C113+'How to use'!$C$18+'How to use'!$C$17)))</f>
        <v/>
      </c>
      <c r="Z113" s="9"/>
      <c r="AA113" s="36" t="str">
        <f aca="false">IF(P113&lt;&gt;"",P113,IF(L113&lt;&gt;"",L113,""))</f>
        <v/>
      </c>
      <c r="AB113" s="36" t="str">
        <f aca="false">IF(Q113&lt;&gt;"",Q113,IF(M113&lt;&gt;"",M113,""))</f>
        <v/>
      </c>
    </row>
    <row r="114" customFormat="false" ht="15" hidden="false" customHeight="false" outlineLevel="0" collapsed="false">
      <c r="A114" s="9"/>
      <c r="B114" s="9"/>
      <c r="C114" s="26"/>
      <c r="D114" s="9"/>
      <c r="E114" s="9"/>
      <c r="F114" s="9"/>
      <c r="G114" s="27"/>
      <c r="H114" s="28"/>
      <c r="I114" s="28"/>
      <c r="J114" s="29" t="str">
        <f aca="false">IF(OR(H114="",I114="",I114=0),"",H114/I114)</f>
        <v/>
      </c>
      <c r="K114" s="30"/>
      <c r="L114" s="28"/>
      <c r="M114" s="28"/>
      <c r="N114" s="29" t="str">
        <f aca="false">IF(OR(L114="",M114="",M114=0),"",L114/M114)</f>
        <v/>
      </c>
      <c r="O114" s="30"/>
      <c r="P114" s="28"/>
      <c r="Q114" s="28"/>
      <c r="R114" s="29" t="str">
        <f aca="false">IF(OR(P114="",Q114="",Q114=0),"",P114/Q114)</f>
        <v/>
      </c>
      <c r="S114" s="30"/>
      <c r="T114" s="31" t="str">
        <f aca="false">IF(OR(AA114="",H114="",H114=0),"",AA114/H114-1)</f>
        <v/>
      </c>
      <c r="U114" s="31" t="str">
        <f aca="false">IF(OR(AB114="",I114="",I114=0),"",AB114/I114-1)</f>
        <v/>
      </c>
      <c r="V114" s="32" t="str">
        <f aca="false">IF(OR(J114="",IF(R114&lt;&gt;"",R114,N114)=""),"",(IF(R114&lt;&gt;"",R114,N114)-J114)*100)</f>
        <v/>
      </c>
      <c r="W114" s="33" t="str">
        <f aca="false">IF(OR(K114="",IF(S114&lt;&gt;"",S114,O114)=""),"",K114-IF(S114&lt;&gt;"",S114,O114))</f>
        <v/>
      </c>
      <c r="X114" s="34" t="str">
        <f aca="false">IF(F114="","",IF(E114="Redirected (301)",IF(AA114="","Pending","Redirected – see target"),IF(OR(AA114="",H114=""),"Pending",IF(H114=0,IF(AA114&gt;0,"Win","Neutral"),IF(AA114&gt;=H114*(1+'How to use'!$C$15),"Win",IF(AA114&lt;=H114*(1+'How to use'!$C$16),"Loss","Neutral"))))))</f>
        <v/>
      </c>
      <c r="Y114" s="35" t="str">
        <f aca="false">IF(OR(F114="",C114=""),"",IF(P114&lt;&gt;"","Done",IF(L114&lt;&gt;"",C114+'How to use'!$C$19+'How to use'!$C$17,C114+'How to use'!$C$18+'How to use'!$C$17)))</f>
        <v/>
      </c>
      <c r="Z114" s="9"/>
      <c r="AA114" s="36" t="str">
        <f aca="false">IF(P114&lt;&gt;"",P114,IF(L114&lt;&gt;"",L114,""))</f>
        <v/>
      </c>
      <c r="AB114" s="36" t="str">
        <f aca="false">IF(Q114&lt;&gt;"",Q114,IF(M114&lt;&gt;"",M114,""))</f>
        <v/>
      </c>
    </row>
    <row r="115" customFormat="false" ht="15" hidden="false" customHeight="false" outlineLevel="0" collapsed="false">
      <c r="A115" s="9"/>
      <c r="B115" s="9"/>
      <c r="C115" s="26"/>
      <c r="D115" s="9"/>
      <c r="E115" s="9"/>
      <c r="F115" s="9"/>
      <c r="G115" s="27"/>
      <c r="H115" s="28"/>
      <c r="I115" s="28"/>
      <c r="J115" s="29" t="str">
        <f aca="false">IF(OR(H115="",I115="",I115=0),"",H115/I115)</f>
        <v/>
      </c>
      <c r="K115" s="30"/>
      <c r="L115" s="28"/>
      <c r="M115" s="28"/>
      <c r="N115" s="29" t="str">
        <f aca="false">IF(OR(L115="",M115="",M115=0),"",L115/M115)</f>
        <v/>
      </c>
      <c r="O115" s="30"/>
      <c r="P115" s="28"/>
      <c r="Q115" s="28"/>
      <c r="R115" s="29" t="str">
        <f aca="false">IF(OR(P115="",Q115="",Q115=0),"",P115/Q115)</f>
        <v/>
      </c>
      <c r="S115" s="30"/>
      <c r="T115" s="31" t="str">
        <f aca="false">IF(OR(AA115="",H115="",H115=0),"",AA115/H115-1)</f>
        <v/>
      </c>
      <c r="U115" s="31" t="str">
        <f aca="false">IF(OR(AB115="",I115="",I115=0),"",AB115/I115-1)</f>
        <v/>
      </c>
      <c r="V115" s="32" t="str">
        <f aca="false">IF(OR(J115="",IF(R115&lt;&gt;"",R115,N115)=""),"",(IF(R115&lt;&gt;"",R115,N115)-J115)*100)</f>
        <v/>
      </c>
      <c r="W115" s="33" t="str">
        <f aca="false">IF(OR(K115="",IF(S115&lt;&gt;"",S115,O115)=""),"",K115-IF(S115&lt;&gt;"",S115,O115))</f>
        <v/>
      </c>
      <c r="X115" s="34" t="str">
        <f aca="false">IF(F115="","",IF(E115="Redirected (301)",IF(AA115="","Pending","Redirected – see target"),IF(OR(AA115="",H115=""),"Pending",IF(H115=0,IF(AA115&gt;0,"Win","Neutral"),IF(AA115&gt;=H115*(1+'How to use'!$C$15),"Win",IF(AA115&lt;=H115*(1+'How to use'!$C$16),"Loss","Neutral"))))))</f>
        <v/>
      </c>
      <c r="Y115" s="35" t="str">
        <f aca="false">IF(OR(F115="",C115=""),"",IF(P115&lt;&gt;"","Done",IF(L115&lt;&gt;"",C115+'How to use'!$C$19+'How to use'!$C$17,C115+'How to use'!$C$18+'How to use'!$C$17)))</f>
        <v/>
      </c>
      <c r="Z115" s="9"/>
      <c r="AA115" s="36" t="str">
        <f aca="false">IF(P115&lt;&gt;"",P115,IF(L115&lt;&gt;"",L115,""))</f>
        <v/>
      </c>
      <c r="AB115" s="36" t="str">
        <f aca="false">IF(Q115&lt;&gt;"",Q115,IF(M115&lt;&gt;"",M115,""))</f>
        <v/>
      </c>
    </row>
    <row r="116" customFormat="false" ht="15" hidden="false" customHeight="false" outlineLevel="0" collapsed="false">
      <c r="A116" s="9"/>
      <c r="B116" s="9"/>
      <c r="C116" s="26"/>
      <c r="D116" s="9"/>
      <c r="E116" s="9"/>
      <c r="F116" s="9"/>
      <c r="G116" s="27"/>
      <c r="H116" s="28"/>
      <c r="I116" s="28"/>
      <c r="J116" s="29" t="str">
        <f aca="false">IF(OR(H116="",I116="",I116=0),"",H116/I116)</f>
        <v/>
      </c>
      <c r="K116" s="30"/>
      <c r="L116" s="28"/>
      <c r="M116" s="28"/>
      <c r="N116" s="29" t="str">
        <f aca="false">IF(OR(L116="",M116="",M116=0),"",L116/M116)</f>
        <v/>
      </c>
      <c r="O116" s="30"/>
      <c r="P116" s="28"/>
      <c r="Q116" s="28"/>
      <c r="R116" s="29" t="str">
        <f aca="false">IF(OR(P116="",Q116="",Q116=0),"",P116/Q116)</f>
        <v/>
      </c>
      <c r="S116" s="30"/>
      <c r="T116" s="31" t="str">
        <f aca="false">IF(OR(AA116="",H116="",H116=0),"",AA116/H116-1)</f>
        <v/>
      </c>
      <c r="U116" s="31" t="str">
        <f aca="false">IF(OR(AB116="",I116="",I116=0),"",AB116/I116-1)</f>
        <v/>
      </c>
      <c r="V116" s="32" t="str">
        <f aca="false">IF(OR(J116="",IF(R116&lt;&gt;"",R116,N116)=""),"",(IF(R116&lt;&gt;"",R116,N116)-J116)*100)</f>
        <v/>
      </c>
      <c r="W116" s="33" t="str">
        <f aca="false">IF(OR(K116="",IF(S116&lt;&gt;"",S116,O116)=""),"",K116-IF(S116&lt;&gt;"",S116,O116))</f>
        <v/>
      </c>
      <c r="X116" s="34" t="str">
        <f aca="false">IF(F116="","",IF(E116="Redirected (301)",IF(AA116="","Pending","Redirected – see target"),IF(OR(AA116="",H116=""),"Pending",IF(H116=0,IF(AA116&gt;0,"Win","Neutral"),IF(AA116&gt;=H116*(1+'How to use'!$C$15),"Win",IF(AA116&lt;=H116*(1+'How to use'!$C$16),"Loss","Neutral"))))))</f>
        <v/>
      </c>
      <c r="Y116" s="35" t="str">
        <f aca="false">IF(OR(F116="",C116=""),"",IF(P116&lt;&gt;"","Done",IF(L116&lt;&gt;"",C116+'How to use'!$C$19+'How to use'!$C$17,C116+'How to use'!$C$18+'How to use'!$C$17)))</f>
        <v/>
      </c>
      <c r="Z116" s="9"/>
      <c r="AA116" s="36" t="str">
        <f aca="false">IF(P116&lt;&gt;"",P116,IF(L116&lt;&gt;"",L116,""))</f>
        <v/>
      </c>
      <c r="AB116" s="36" t="str">
        <f aca="false">IF(Q116&lt;&gt;"",Q116,IF(M116&lt;&gt;"",M116,""))</f>
        <v/>
      </c>
    </row>
    <row r="117" customFormat="false" ht="15" hidden="false" customHeight="false" outlineLevel="0" collapsed="false">
      <c r="A117" s="9"/>
      <c r="B117" s="9"/>
      <c r="C117" s="26"/>
      <c r="D117" s="9"/>
      <c r="E117" s="9"/>
      <c r="F117" s="9"/>
      <c r="G117" s="27"/>
      <c r="H117" s="28"/>
      <c r="I117" s="28"/>
      <c r="J117" s="29" t="str">
        <f aca="false">IF(OR(H117="",I117="",I117=0),"",H117/I117)</f>
        <v/>
      </c>
      <c r="K117" s="30"/>
      <c r="L117" s="28"/>
      <c r="M117" s="28"/>
      <c r="N117" s="29" t="str">
        <f aca="false">IF(OR(L117="",M117="",M117=0),"",L117/M117)</f>
        <v/>
      </c>
      <c r="O117" s="30"/>
      <c r="P117" s="28"/>
      <c r="Q117" s="28"/>
      <c r="R117" s="29" t="str">
        <f aca="false">IF(OR(P117="",Q117="",Q117=0),"",P117/Q117)</f>
        <v/>
      </c>
      <c r="S117" s="30"/>
      <c r="T117" s="31" t="str">
        <f aca="false">IF(OR(AA117="",H117="",H117=0),"",AA117/H117-1)</f>
        <v/>
      </c>
      <c r="U117" s="31" t="str">
        <f aca="false">IF(OR(AB117="",I117="",I117=0),"",AB117/I117-1)</f>
        <v/>
      </c>
      <c r="V117" s="32" t="str">
        <f aca="false">IF(OR(J117="",IF(R117&lt;&gt;"",R117,N117)=""),"",(IF(R117&lt;&gt;"",R117,N117)-J117)*100)</f>
        <v/>
      </c>
      <c r="W117" s="33" t="str">
        <f aca="false">IF(OR(K117="",IF(S117&lt;&gt;"",S117,O117)=""),"",K117-IF(S117&lt;&gt;"",S117,O117))</f>
        <v/>
      </c>
      <c r="X117" s="34" t="str">
        <f aca="false">IF(F117="","",IF(E117="Redirected (301)",IF(AA117="","Pending","Redirected – see target"),IF(OR(AA117="",H117=""),"Pending",IF(H117=0,IF(AA117&gt;0,"Win","Neutral"),IF(AA117&gt;=H117*(1+'How to use'!$C$15),"Win",IF(AA117&lt;=H117*(1+'How to use'!$C$16),"Loss","Neutral"))))))</f>
        <v/>
      </c>
      <c r="Y117" s="35" t="str">
        <f aca="false">IF(OR(F117="",C117=""),"",IF(P117&lt;&gt;"","Done",IF(L117&lt;&gt;"",C117+'How to use'!$C$19+'How to use'!$C$17,C117+'How to use'!$C$18+'How to use'!$C$17)))</f>
        <v/>
      </c>
      <c r="Z117" s="9"/>
      <c r="AA117" s="36" t="str">
        <f aca="false">IF(P117&lt;&gt;"",P117,IF(L117&lt;&gt;"",L117,""))</f>
        <v/>
      </c>
      <c r="AB117" s="36" t="str">
        <f aca="false">IF(Q117&lt;&gt;"",Q117,IF(M117&lt;&gt;"",M117,""))</f>
        <v/>
      </c>
    </row>
    <row r="118" customFormat="false" ht="15" hidden="false" customHeight="false" outlineLevel="0" collapsed="false">
      <c r="A118" s="9"/>
      <c r="B118" s="9"/>
      <c r="C118" s="26"/>
      <c r="D118" s="9"/>
      <c r="E118" s="9"/>
      <c r="F118" s="9"/>
      <c r="G118" s="27"/>
      <c r="H118" s="28"/>
      <c r="I118" s="28"/>
      <c r="J118" s="29" t="str">
        <f aca="false">IF(OR(H118="",I118="",I118=0),"",H118/I118)</f>
        <v/>
      </c>
      <c r="K118" s="30"/>
      <c r="L118" s="28"/>
      <c r="M118" s="28"/>
      <c r="N118" s="29" t="str">
        <f aca="false">IF(OR(L118="",M118="",M118=0),"",L118/M118)</f>
        <v/>
      </c>
      <c r="O118" s="30"/>
      <c r="P118" s="28"/>
      <c r="Q118" s="28"/>
      <c r="R118" s="29" t="str">
        <f aca="false">IF(OR(P118="",Q118="",Q118=0),"",P118/Q118)</f>
        <v/>
      </c>
      <c r="S118" s="30"/>
      <c r="T118" s="31" t="str">
        <f aca="false">IF(OR(AA118="",H118="",H118=0),"",AA118/H118-1)</f>
        <v/>
      </c>
      <c r="U118" s="31" t="str">
        <f aca="false">IF(OR(AB118="",I118="",I118=0),"",AB118/I118-1)</f>
        <v/>
      </c>
      <c r="V118" s="32" t="str">
        <f aca="false">IF(OR(J118="",IF(R118&lt;&gt;"",R118,N118)=""),"",(IF(R118&lt;&gt;"",R118,N118)-J118)*100)</f>
        <v/>
      </c>
      <c r="W118" s="33" t="str">
        <f aca="false">IF(OR(K118="",IF(S118&lt;&gt;"",S118,O118)=""),"",K118-IF(S118&lt;&gt;"",S118,O118))</f>
        <v/>
      </c>
      <c r="X118" s="34" t="str">
        <f aca="false">IF(F118="","",IF(E118="Redirected (301)",IF(AA118="","Pending","Redirected – see target"),IF(OR(AA118="",H118=""),"Pending",IF(H118=0,IF(AA118&gt;0,"Win","Neutral"),IF(AA118&gt;=H118*(1+'How to use'!$C$15),"Win",IF(AA118&lt;=H118*(1+'How to use'!$C$16),"Loss","Neutral"))))))</f>
        <v/>
      </c>
      <c r="Y118" s="35" t="str">
        <f aca="false">IF(OR(F118="",C118=""),"",IF(P118&lt;&gt;"","Done",IF(L118&lt;&gt;"",C118+'How to use'!$C$19+'How to use'!$C$17,C118+'How to use'!$C$18+'How to use'!$C$17)))</f>
        <v/>
      </c>
      <c r="Z118" s="9"/>
      <c r="AA118" s="36" t="str">
        <f aca="false">IF(P118&lt;&gt;"",P118,IF(L118&lt;&gt;"",L118,""))</f>
        <v/>
      </c>
      <c r="AB118" s="36" t="str">
        <f aca="false">IF(Q118&lt;&gt;"",Q118,IF(M118&lt;&gt;"",M118,""))</f>
        <v/>
      </c>
    </row>
    <row r="119" customFormat="false" ht="15" hidden="false" customHeight="false" outlineLevel="0" collapsed="false">
      <c r="A119" s="9"/>
      <c r="B119" s="9"/>
      <c r="C119" s="26"/>
      <c r="D119" s="9"/>
      <c r="E119" s="9"/>
      <c r="F119" s="9"/>
      <c r="G119" s="27"/>
      <c r="H119" s="28"/>
      <c r="I119" s="28"/>
      <c r="J119" s="29" t="str">
        <f aca="false">IF(OR(H119="",I119="",I119=0),"",H119/I119)</f>
        <v/>
      </c>
      <c r="K119" s="30"/>
      <c r="L119" s="28"/>
      <c r="M119" s="28"/>
      <c r="N119" s="29" t="str">
        <f aca="false">IF(OR(L119="",M119="",M119=0),"",L119/M119)</f>
        <v/>
      </c>
      <c r="O119" s="30"/>
      <c r="P119" s="28"/>
      <c r="Q119" s="28"/>
      <c r="R119" s="29" t="str">
        <f aca="false">IF(OR(P119="",Q119="",Q119=0),"",P119/Q119)</f>
        <v/>
      </c>
      <c r="S119" s="30"/>
      <c r="T119" s="31" t="str">
        <f aca="false">IF(OR(AA119="",H119="",H119=0),"",AA119/H119-1)</f>
        <v/>
      </c>
      <c r="U119" s="31" t="str">
        <f aca="false">IF(OR(AB119="",I119="",I119=0),"",AB119/I119-1)</f>
        <v/>
      </c>
      <c r="V119" s="32" t="str">
        <f aca="false">IF(OR(J119="",IF(R119&lt;&gt;"",R119,N119)=""),"",(IF(R119&lt;&gt;"",R119,N119)-J119)*100)</f>
        <v/>
      </c>
      <c r="W119" s="33" t="str">
        <f aca="false">IF(OR(K119="",IF(S119&lt;&gt;"",S119,O119)=""),"",K119-IF(S119&lt;&gt;"",S119,O119))</f>
        <v/>
      </c>
      <c r="X119" s="34" t="str">
        <f aca="false">IF(F119="","",IF(E119="Redirected (301)",IF(AA119="","Pending","Redirected – see target"),IF(OR(AA119="",H119=""),"Pending",IF(H119=0,IF(AA119&gt;0,"Win","Neutral"),IF(AA119&gt;=H119*(1+'How to use'!$C$15),"Win",IF(AA119&lt;=H119*(1+'How to use'!$C$16),"Loss","Neutral"))))))</f>
        <v/>
      </c>
      <c r="Y119" s="35" t="str">
        <f aca="false">IF(OR(F119="",C119=""),"",IF(P119&lt;&gt;"","Done",IF(L119&lt;&gt;"",C119+'How to use'!$C$19+'How to use'!$C$17,C119+'How to use'!$C$18+'How to use'!$C$17)))</f>
        <v/>
      </c>
      <c r="Z119" s="9"/>
      <c r="AA119" s="36" t="str">
        <f aca="false">IF(P119&lt;&gt;"",P119,IF(L119&lt;&gt;"",L119,""))</f>
        <v/>
      </c>
      <c r="AB119" s="36" t="str">
        <f aca="false">IF(Q119&lt;&gt;"",Q119,IF(M119&lt;&gt;"",M119,""))</f>
        <v/>
      </c>
    </row>
    <row r="120" customFormat="false" ht="15" hidden="false" customHeight="false" outlineLevel="0" collapsed="false">
      <c r="A120" s="9"/>
      <c r="B120" s="9"/>
      <c r="C120" s="26"/>
      <c r="D120" s="9"/>
      <c r="E120" s="9"/>
      <c r="F120" s="9"/>
      <c r="G120" s="27"/>
      <c r="H120" s="28"/>
      <c r="I120" s="28"/>
      <c r="J120" s="29" t="str">
        <f aca="false">IF(OR(H120="",I120="",I120=0),"",H120/I120)</f>
        <v/>
      </c>
      <c r="K120" s="30"/>
      <c r="L120" s="28"/>
      <c r="M120" s="28"/>
      <c r="N120" s="29" t="str">
        <f aca="false">IF(OR(L120="",M120="",M120=0),"",L120/M120)</f>
        <v/>
      </c>
      <c r="O120" s="30"/>
      <c r="P120" s="28"/>
      <c r="Q120" s="28"/>
      <c r="R120" s="29" t="str">
        <f aca="false">IF(OR(P120="",Q120="",Q120=0),"",P120/Q120)</f>
        <v/>
      </c>
      <c r="S120" s="30"/>
      <c r="T120" s="31" t="str">
        <f aca="false">IF(OR(AA120="",H120="",H120=0),"",AA120/H120-1)</f>
        <v/>
      </c>
      <c r="U120" s="31" t="str">
        <f aca="false">IF(OR(AB120="",I120="",I120=0),"",AB120/I120-1)</f>
        <v/>
      </c>
      <c r="V120" s="32" t="str">
        <f aca="false">IF(OR(J120="",IF(R120&lt;&gt;"",R120,N120)=""),"",(IF(R120&lt;&gt;"",R120,N120)-J120)*100)</f>
        <v/>
      </c>
      <c r="W120" s="33" t="str">
        <f aca="false">IF(OR(K120="",IF(S120&lt;&gt;"",S120,O120)=""),"",K120-IF(S120&lt;&gt;"",S120,O120))</f>
        <v/>
      </c>
      <c r="X120" s="34" t="str">
        <f aca="false">IF(F120="","",IF(E120="Redirected (301)",IF(AA120="","Pending","Redirected – see target"),IF(OR(AA120="",H120=""),"Pending",IF(H120=0,IF(AA120&gt;0,"Win","Neutral"),IF(AA120&gt;=H120*(1+'How to use'!$C$15),"Win",IF(AA120&lt;=H120*(1+'How to use'!$C$16),"Loss","Neutral"))))))</f>
        <v/>
      </c>
      <c r="Y120" s="35" t="str">
        <f aca="false">IF(OR(F120="",C120=""),"",IF(P120&lt;&gt;"","Done",IF(L120&lt;&gt;"",C120+'How to use'!$C$19+'How to use'!$C$17,C120+'How to use'!$C$18+'How to use'!$C$17)))</f>
        <v/>
      </c>
      <c r="Z120" s="9"/>
      <c r="AA120" s="36" t="str">
        <f aca="false">IF(P120&lt;&gt;"",P120,IF(L120&lt;&gt;"",L120,""))</f>
        <v/>
      </c>
      <c r="AB120" s="36" t="str">
        <f aca="false">IF(Q120&lt;&gt;"",Q120,IF(M120&lt;&gt;"",M120,""))</f>
        <v/>
      </c>
    </row>
    <row r="121" customFormat="false" ht="15" hidden="false" customHeight="false" outlineLevel="0" collapsed="false">
      <c r="A121" s="9"/>
      <c r="B121" s="9"/>
      <c r="C121" s="26"/>
      <c r="D121" s="9"/>
      <c r="E121" s="9"/>
      <c r="F121" s="9"/>
      <c r="G121" s="27"/>
      <c r="H121" s="28"/>
      <c r="I121" s="28"/>
      <c r="J121" s="29" t="str">
        <f aca="false">IF(OR(H121="",I121="",I121=0),"",H121/I121)</f>
        <v/>
      </c>
      <c r="K121" s="30"/>
      <c r="L121" s="28"/>
      <c r="M121" s="28"/>
      <c r="N121" s="29" t="str">
        <f aca="false">IF(OR(L121="",M121="",M121=0),"",L121/M121)</f>
        <v/>
      </c>
      <c r="O121" s="30"/>
      <c r="P121" s="28"/>
      <c r="Q121" s="28"/>
      <c r="R121" s="29" t="str">
        <f aca="false">IF(OR(P121="",Q121="",Q121=0),"",P121/Q121)</f>
        <v/>
      </c>
      <c r="S121" s="30"/>
      <c r="T121" s="31" t="str">
        <f aca="false">IF(OR(AA121="",H121="",H121=0),"",AA121/H121-1)</f>
        <v/>
      </c>
      <c r="U121" s="31" t="str">
        <f aca="false">IF(OR(AB121="",I121="",I121=0),"",AB121/I121-1)</f>
        <v/>
      </c>
      <c r="V121" s="32" t="str">
        <f aca="false">IF(OR(J121="",IF(R121&lt;&gt;"",R121,N121)=""),"",(IF(R121&lt;&gt;"",R121,N121)-J121)*100)</f>
        <v/>
      </c>
      <c r="W121" s="33" t="str">
        <f aca="false">IF(OR(K121="",IF(S121&lt;&gt;"",S121,O121)=""),"",K121-IF(S121&lt;&gt;"",S121,O121))</f>
        <v/>
      </c>
      <c r="X121" s="34" t="str">
        <f aca="false">IF(F121="","",IF(E121="Redirected (301)",IF(AA121="","Pending","Redirected – see target"),IF(OR(AA121="",H121=""),"Pending",IF(H121=0,IF(AA121&gt;0,"Win","Neutral"),IF(AA121&gt;=H121*(1+'How to use'!$C$15),"Win",IF(AA121&lt;=H121*(1+'How to use'!$C$16),"Loss","Neutral"))))))</f>
        <v/>
      </c>
      <c r="Y121" s="35" t="str">
        <f aca="false">IF(OR(F121="",C121=""),"",IF(P121&lt;&gt;"","Done",IF(L121&lt;&gt;"",C121+'How to use'!$C$19+'How to use'!$C$17,C121+'How to use'!$C$18+'How to use'!$C$17)))</f>
        <v/>
      </c>
      <c r="Z121" s="9"/>
      <c r="AA121" s="36" t="str">
        <f aca="false">IF(P121&lt;&gt;"",P121,IF(L121&lt;&gt;"",L121,""))</f>
        <v/>
      </c>
      <c r="AB121" s="36" t="str">
        <f aca="false">IF(Q121&lt;&gt;"",Q121,IF(M121&lt;&gt;"",M121,""))</f>
        <v/>
      </c>
    </row>
    <row r="122" customFormat="false" ht="15" hidden="false" customHeight="false" outlineLevel="0" collapsed="false">
      <c r="A122" s="9"/>
      <c r="B122" s="9"/>
      <c r="C122" s="26"/>
      <c r="D122" s="9"/>
      <c r="E122" s="9"/>
      <c r="F122" s="9"/>
      <c r="G122" s="27"/>
      <c r="H122" s="28"/>
      <c r="I122" s="28"/>
      <c r="J122" s="29" t="str">
        <f aca="false">IF(OR(H122="",I122="",I122=0),"",H122/I122)</f>
        <v/>
      </c>
      <c r="K122" s="30"/>
      <c r="L122" s="28"/>
      <c r="M122" s="28"/>
      <c r="N122" s="29" t="str">
        <f aca="false">IF(OR(L122="",M122="",M122=0),"",L122/M122)</f>
        <v/>
      </c>
      <c r="O122" s="30"/>
      <c r="P122" s="28"/>
      <c r="Q122" s="28"/>
      <c r="R122" s="29" t="str">
        <f aca="false">IF(OR(P122="",Q122="",Q122=0),"",P122/Q122)</f>
        <v/>
      </c>
      <c r="S122" s="30"/>
      <c r="T122" s="31" t="str">
        <f aca="false">IF(OR(AA122="",H122="",H122=0),"",AA122/H122-1)</f>
        <v/>
      </c>
      <c r="U122" s="31" t="str">
        <f aca="false">IF(OR(AB122="",I122="",I122=0),"",AB122/I122-1)</f>
        <v/>
      </c>
      <c r="V122" s="32" t="str">
        <f aca="false">IF(OR(J122="",IF(R122&lt;&gt;"",R122,N122)=""),"",(IF(R122&lt;&gt;"",R122,N122)-J122)*100)</f>
        <v/>
      </c>
      <c r="W122" s="33" t="str">
        <f aca="false">IF(OR(K122="",IF(S122&lt;&gt;"",S122,O122)=""),"",K122-IF(S122&lt;&gt;"",S122,O122))</f>
        <v/>
      </c>
      <c r="X122" s="34" t="str">
        <f aca="false">IF(F122="","",IF(E122="Redirected (301)",IF(AA122="","Pending","Redirected – see target"),IF(OR(AA122="",H122=""),"Pending",IF(H122=0,IF(AA122&gt;0,"Win","Neutral"),IF(AA122&gt;=H122*(1+'How to use'!$C$15),"Win",IF(AA122&lt;=H122*(1+'How to use'!$C$16),"Loss","Neutral"))))))</f>
        <v/>
      </c>
      <c r="Y122" s="35" t="str">
        <f aca="false">IF(OR(F122="",C122=""),"",IF(P122&lt;&gt;"","Done",IF(L122&lt;&gt;"",C122+'How to use'!$C$19+'How to use'!$C$17,C122+'How to use'!$C$18+'How to use'!$C$17)))</f>
        <v/>
      </c>
      <c r="Z122" s="9"/>
      <c r="AA122" s="36" t="str">
        <f aca="false">IF(P122&lt;&gt;"",P122,IF(L122&lt;&gt;"",L122,""))</f>
        <v/>
      </c>
      <c r="AB122" s="36" t="str">
        <f aca="false">IF(Q122&lt;&gt;"",Q122,IF(M122&lt;&gt;"",M122,""))</f>
        <v/>
      </c>
    </row>
    <row r="123" customFormat="false" ht="15" hidden="false" customHeight="false" outlineLevel="0" collapsed="false">
      <c r="A123" s="9"/>
      <c r="B123" s="9"/>
      <c r="C123" s="26"/>
      <c r="D123" s="9"/>
      <c r="E123" s="9"/>
      <c r="F123" s="9"/>
      <c r="G123" s="27"/>
      <c r="H123" s="28"/>
      <c r="I123" s="28"/>
      <c r="J123" s="29" t="str">
        <f aca="false">IF(OR(H123="",I123="",I123=0),"",H123/I123)</f>
        <v/>
      </c>
      <c r="K123" s="30"/>
      <c r="L123" s="28"/>
      <c r="M123" s="28"/>
      <c r="N123" s="29" t="str">
        <f aca="false">IF(OR(L123="",M123="",M123=0),"",L123/M123)</f>
        <v/>
      </c>
      <c r="O123" s="30"/>
      <c r="P123" s="28"/>
      <c r="Q123" s="28"/>
      <c r="R123" s="29" t="str">
        <f aca="false">IF(OR(P123="",Q123="",Q123=0),"",P123/Q123)</f>
        <v/>
      </c>
      <c r="S123" s="30"/>
      <c r="T123" s="31" t="str">
        <f aca="false">IF(OR(AA123="",H123="",H123=0),"",AA123/H123-1)</f>
        <v/>
      </c>
      <c r="U123" s="31" t="str">
        <f aca="false">IF(OR(AB123="",I123="",I123=0),"",AB123/I123-1)</f>
        <v/>
      </c>
      <c r="V123" s="32" t="str">
        <f aca="false">IF(OR(J123="",IF(R123&lt;&gt;"",R123,N123)=""),"",(IF(R123&lt;&gt;"",R123,N123)-J123)*100)</f>
        <v/>
      </c>
      <c r="W123" s="33" t="str">
        <f aca="false">IF(OR(K123="",IF(S123&lt;&gt;"",S123,O123)=""),"",K123-IF(S123&lt;&gt;"",S123,O123))</f>
        <v/>
      </c>
      <c r="X123" s="34" t="str">
        <f aca="false">IF(F123="","",IF(E123="Redirected (301)",IF(AA123="","Pending","Redirected – see target"),IF(OR(AA123="",H123=""),"Pending",IF(H123=0,IF(AA123&gt;0,"Win","Neutral"),IF(AA123&gt;=H123*(1+'How to use'!$C$15),"Win",IF(AA123&lt;=H123*(1+'How to use'!$C$16),"Loss","Neutral"))))))</f>
        <v/>
      </c>
      <c r="Y123" s="35" t="str">
        <f aca="false">IF(OR(F123="",C123=""),"",IF(P123&lt;&gt;"","Done",IF(L123&lt;&gt;"",C123+'How to use'!$C$19+'How to use'!$C$17,C123+'How to use'!$C$18+'How to use'!$C$17)))</f>
        <v/>
      </c>
      <c r="Z123" s="9"/>
      <c r="AA123" s="36" t="str">
        <f aca="false">IF(P123&lt;&gt;"",P123,IF(L123&lt;&gt;"",L123,""))</f>
        <v/>
      </c>
      <c r="AB123" s="36" t="str">
        <f aca="false">IF(Q123&lt;&gt;"",Q123,IF(M123&lt;&gt;"",M123,""))</f>
        <v/>
      </c>
    </row>
    <row r="124" customFormat="false" ht="15" hidden="false" customHeight="false" outlineLevel="0" collapsed="false">
      <c r="A124" s="9"/>
      <c r="B124" s="9"/>
      <c r="C124" s="26"/>
      <c r="D124" s="9"/>
      <c r="E124" s="9"/>
      <c r="F124" s="9"/>
      <c r="G124" s="27"/>
      <c r="H124" s="28"/>
      <c r="I124" s="28"/>
      <c r="J124" s="29" t="str">
        <f aca="false">IF(OR(H124="",I124="",I124=0),"",H124/I124)</f>
        <v/>
      </c>
      <c r="K124" s="30"/>
      <c r="L124" s="28"/>
      <c r="M124" s="28"/>
      <c r="N124" s="29" t="str">
        <f aca="false">IF(OR(L124="",M124="",M124=0),"",L124/M124)</f>
        <v/>
      </c>
      <c r="O124" s="30"/>
      <c r="P124" s="28"/>
      <c r="Q124" s="28"/>
      <c r="R124" s="29" t="str">
        <f aca="false">IF(OR(P124="",Q124="",Q124=0),"",P124/Q124)</f>
        <v/>
      </c>
      <c r="S124" s="30"/>
      <c r="T124" s="31" t="str">
        <f aca="false">IF(OR(AA124="",H124="",H124=0),"",AA124/H124-1)</f>
        <v/>
      </c>
      <c r="U124" s="31" t="str">
        <f aca="false">IF(OR(AB124="",I124="",I124=0),"",AB124/I124-1)</f>
        <v/>
      </c>
      <c r="V124" s="32" t="str">
        <f aca="false">IF(OR(J124="",IF(R124&lt;&gt;"",R124,N124)=""),"",(IF(R124&lt;&gt;"",R124,N124)-J124)*100)</f>
        <v/>
      </c>
      <c r="W124" s="33" t="str">
        <f aca="false">IF(OR(K124="",IF(S124&lt;&gt;"",S124,O124)=""),"",K124-IF(S124&lt;&gt;"",S124,O124))</f>
        <v/>
      </c>
      <c r="X124" s="34" t="str">
        <f aca="false">IF(F124="","",IF(E124="Redirected (301)",IF(AA124="","Pending","Redirected – see target"),IF(OR(AA124="",H124=""),"Pending",IF(H124=0,IF(AA124&gt;0,"Win","Neutral"),IF(AA124&gt;=H124*(1+'How to use'!$C$15),"Win",IF(AA124&lt;=H124*(1+'How to use'!$C$16),"Loss","Neutral"))))))</f>
        <v/>
      </c>
      <c r="Y124" s="35" t="str">
        <f aca="false">IF(OR(F124="",C124=""),"",IF(P124&lt;&gt;"","Done",IF(L124&lt;&gt;"",C124+'How to use'!$C$19+'How to use'!$C$17,C124+'How to use'!$C$18+'How to use'!$C$17)))</f>
        <v/>
      </c>
      <c r="Z124" s="9"/>
      <c r="AA124" s="36" t="str">
        <f aca="false">IF(P124&lt;&gt;"",P124,IF(L124&lt;&gt;"",L124,""))</f>
        <v/>
      </c>
      <c r="AB124" s="36" t="str">
        <f aca="false">IF(Q124&lt;&gt;"",Q124,IF(M124&lt;&gt;"",M124,""))</f>
        <v/>
      </c>
    </row>
    <row r="125" customFormat="false" ht="15" hidden="false" customHeight="false" outlineLevel="0" collapsed="false">
      <c r="A125" s="9"/>
      <c r="B125" s="9"/>
      <c r="C125" s="26"/>
      <c r="D125" s="9"/>
      <c r="E125" s="9"/>
      <c r="F125" s="9"/>
      <c r="G125" s="27"/>
      <c r="H125" s="28"/>
      <c r="I125" s="28"/>
      <c r="J125" s="29" t="str">
        <f aca="false">IF(OR(H125="",I125="",I125=0),"",H125/I125)</f>
        <v/>
      </c>
      <c r="K125" s="30"/>
      <c r="L125" s="28"/>
      <c r="M125" s="28"/>
      <c r="N125" s="29" t="str">
        <f aca="false">IF(OR(L125="",M125="",M125=0),"",L125/M125)</f>
        <v/>
      </c>
      <c r="O125" s="30"/>
      <c r="P125" s="28"/>
      <c r="Q125" s="28"/>
      <c r="R125" s="29" t="str">
        <f aca="false">IF(OR(P125="",Q125="",Q125=0),"",P125/Q125)</f>
        <v/>
      </c>
      <c r="S125" s="30"/>
      <c r="T125" s="31" t="str">
        <f aca="false">IF(OR(AA125="",H125="",H125=0),"",AA125/H125-1)</f>
        <v/>
      </c>
      <c r="U125" s="31" t="str">
        <f aca="false">IF(OR(AB125="",I125="",I125=0),"",AB125/I125-1)</f>
        <v/>
      </c>
      <c r="V125" s="32" t="str">
        <f aca="false">IF(OR(J125="",IF(R125&lt;&gt;"",R125,N125)=""),"",(IF(R125&lt;&gt;"",R125,N125)-J125)*100)</f>
        <v/>
      </c>
      <c r="W125" s="33" t="str">
        <f aca="false">IF(OR(K125="",IF(S125&lt;&gt;"",S125,O125)=""),"",K125-IF(S125&lt;&gt;"",S125,O125))</f>
        <v/>
      </c>
      <c r="X125" s="34" t="str">
        <f aca="false">IF(F125="","",IF(E125="Redirected (301)",IF(AA125="","Pending","Redirected – see target"),IF(OR(AA125="",H125=""),"Pending",IF(H125=0,IF(AA125&gt;0,"Win","Neutral"),IF(AA125&gt;=H125*(1+'How to use'!$C$15),"Win",IF(AA125&lt;=H125*(1+'How to use'!$C$16),"Loss","Neutral"))))))</f>
        <v/>
      </c>
      <c r="Y125" s="35" t="str">
        <f aca="false">IF(OR(F125="",C125=""),"",IF(P125&lt;&gt;"","Done",IF(L125&lt;&gt;"",C125+'How to use'!$C$19+'How to use'!$C$17,C125+'How to use'!$C$18+'How to use'!$C$17)))</f>
        <v/>
      </c>
      <c r="Z125" s="9"/>
      <c r="AA125" s="36" t="str">
        <f aca="false">IF(P125&lt;&gt;"",P125,IF(L125&lt;&gt;"",L125,""))</f>
        <v/>
      </c>
      <c r="AB125" s="36" t="str">
        <f aca="false">IF(Q125&lt;&gt;"",Q125,IF(M125&lt;&gt;"",M125,""))</f>
        <v/>
      </c>
    </row>
    <row r="126" customFormat="false" ht="15" hidden="false" customHeight="false" outlineLevel="0" collapsed="false">
      <c r="A126" s="9"/>
      <c r="B126" s="9"/>
      <c r="C126" s="26"/>
      <c r="D126" s="9"/>
      <c r="E126" s="9"/>
      <c r="F126" s="9"/>
      <c r="G126" s="27"/>
      <c r="H126" s="28"/>
      <c r="I126" s="28"/>
      <c r="J126" s="29" t="str">
        <f aca="false">IF(OR(H126="",I126="",I126=0),"",H126/I126)</f>
        <v/>
      </c>
      <c r="K126" s="30"/>
      <c r="L126" s="28"/>
      <c r="M126" s="28"/>
      <c r="N126" s="29" t="str">
        <f aca="false">IF(OR(L126="",M126="",M126=0),"",L126/M126)</f>
        <v/>
      </c>
      <c r="O126" s="30"/>
      <c r="P126" s="28"/>
      <c r="Q126" s="28"/>
      <c r="R126" s="29" t="str">
        <f aca="false">IF(OR(P126="",Q126="",Q126=0),"",P126/Q126)</f>
        <v/>
      </c>
      <c r="S126" s="30"/>
      <c r="T126" s="31" t="str">
        <f aca="false">IF(OR(AA126="",H126="",H126=0),"",AA126/H126-1)</f>
        <v/>
      </c>
      <c r="U126" s="31" t="str">
        <f aca="false">IF(OR(AB126="",I126="",I126=0),"",AB126/I126-1)</f>
        <v/>
      </c>
      <c r="V126" s="32" t="str">
        <f aca="false">IF(OR(J126="",IF(R126&lt;&gt;"",R126,N126)=""),"",(IF(R126&lt;&gt;"",R126,N126)-J126)*100)</f>
        <v/>
      </c>
      <c r="W126" s="33" t="str">
        <f aca="false">IF(OR(K126="",IF(S126&lt;&gt;"",S126,O126)=""),"",K126-IF(S126&lt;&gt;"",S126,O126))</f>
        <v/>
      </c>
      <c r="X126" s="34" t="str">
        <f aca="false">IF(F126="","",IF(E126="Redirected (301)",IF(AA126="","Pending","Redirected – see target"),IF(OR(AA126="",H126=""),"Pending",IF(H126=0,IF(AA126&gt;0,"Win","Neutral"),IF(AA126&gt;=H126*(1+'How to use'!$C$15),"Win",IF(AA126&lt;=H126*(1+'How to use'!$C$16),"Loss","Neutral"))))))</f>
        <v/>
      </c>
      <c r="Y126" s="35" t="str">
        <f aca="false">IF(OR(F126="",C126=""),"",IF(P126&lt;&gt;"","Done",IF(L126&lt;&gt;"",C126+'How to use'!$C$19+'How to use'!$C$17,C126+'How to use'!$C$18+'How to use'!$C$17)))</f>
        <v/>
      </c>
      <c r="Z126" s="9"/>
      <c r="AA126" s="36" t="str">
        <f aca="false">IF(P126&lt;&gt;"",P126,IF(L126&lt;&gt;"",L126,""))</f>
        <v/>
      </c>
      <c r="AB126" s="36" t="str">
        <f aca="false">IF(Q126&lt;&gt;"",Q126,IF(M126&lt;&gt;"",M126,""))</f>
        <v/>
      </c>
    </row>
    <row r="127" customFormat="false" ht="15" hidden="false" customHeight="false" outlineLevel="0" collapsed="false">
      <c r="A127" s="9"/>
      <c r="B127" s="9"/>
      <c r="C127" s="26"/>
      <c r="D127" s="9"/>
      <c r="E127" s="9"/>
      <c r="F127" s="9"/>
      <c r="G127" s="27"/>
      <c r="H127" s="28"/>
      <c r="I127" s="28"/>
      <c r="J127" s="29" t="str">
        <f aca="false">IF(OR(H127="",I127="",I127=0),"",H127/I127)</f>
        <v/>
      </c>
      <c r="K127" s="30"/>
      <c r="L127" s="28"/>
      <c r="M127" s="28"/>
      <c r="N127" s="29" t="str">
        <f aca="false">IF(OR(L127="",M127="",M127=0),"",L127/M127)</f>
        <v/>
      </c>
      <c r="O127" s="30"/>
      <c r="P127" s="28"/>
      <c r="Q127" s="28"/>
      <c r="R127" s="29" t="str">
        <f aca="false">IF(OR(P127="",Q127="",Q127=0),"",P127/Q127)</f>
        <v/>
      </c>
      <c r="S127" s="30"/>
      <c r="T127" s="31" t="str">
        <f aca="false">IF(OR(AA127="",H127="",H127=0),"",AA127/H127-1)</f>
        <v/>
      </c>
      <c r="U127" s="31" t="str">
        <f aca="false">IF(OR(AB127="",I127="",I127=0),"",AB127/I127-1)</f>
        <v/>
      </c>
      <c r="V127" s="32" t="str">
        <f aca="false">IF(OR(J127="",IF(R127&lt;&gt;"",R127,N127)=""),"",(IF(R127&lt;&gt;"",R127,N127)-J127)*100)</f>
        <v/>
      </c>
      <c r="W127" s="33" t="str">
        <f aca="false">IF(OR(K127="",IF(S127&lt;&gt;"",S127,O127)=""),"",K127-IF(S127&lt;&gt;"",S127,O127))</f>
        <v/>
      </c>
      <c r="X127" s="34" t="str">
        <f aca="false">IF(F127="","",IF(E127="Redirected (301)",IF(AA127="","Pending","Redirected – see target"),IF(OR(AA127="",H127=""),"Pending",IF(H127=0,IF(AA127&gt;0,"Win","Neutral"),IF(AA127&gt;=H127*(1+'How to use'!$C$15),"Win",IF(AA127&lt;=H127*(1+'How to use'!$C$16),"Loss","Neutral"))))))</f>
        <v/>
      </c>
      <c r="Y127" s="35" t="str">
        <f aca="false">IF(OR(F127="",C127=""),"",IF(P127&lt;&gt;"","Done",IF(L127&lt;&gt;"",C127+'How to use'!$C$19+'How to use'!$C$17,C127+'How to use'!$C$18+'How to use'!$C$17)))</f>
        <v/>
      </c>
      <c r="Z127" s="9"/>
      <c r="AA127" s="36" t="str">
        <f aca="false">IF(P127&lt;&gt;"",P127,IF(L127&lt;&gt;"",L127,""))</f>
        <v/>
      </c>
      <c r="AB127" s="36" t="str">
        <f aca="false">IF(Q127&lt;&gt;"",Q127,IF(M127&lt;&gt;"",M127,""))</f>
        <v/>
      </c>
    </row>
    <row r="128" customFormat="false" ht="15" hidden="false" customHeight="false" outlineLevel="0" collapsed="false">
      <c r="A128" s="9"/>
      <c r="B128" s="9"/>
      <c r="C128" s="26"/>
      <c r="D128" s="9"/>
      <c r="E128" s="9"/>
      <c r="F128" s="9"/>
      <c r="G128" s="27"/>
      <c r="H128" s="28"/>
      <c r="I128" s="28"/>
      <c r="J128" s="29" t="str">
        <f aca="false">IF(OR(H128="",I128="",I128=0),"",H128/I128)</f>
        <v/>
      </c>
      <c r="K128" s="30"/>
      <c r="L128" s="28"/>
      <c r="M128" s="28"/>
      <c r="N128" s="29" t="str">
        <f aca="false">IF(OR(L128="",M128="",M128=0),"",L128/M128)</f>
        <v/>
      </c>
      <c r="O128" s="30"/>
      <c r="P128" s="28"/>
      <c r="Q128" s="28"/>
      <c r="R128" s="29" t="str">
        <f aca="false">IF(OR(P128="",Q128="",Q128=0),"",P128/Q128)</f>
        <v/>
      </c>
      <c r="S128" s="30"/>
      <c r="T128" s="31" t="str">
        <f aca="false">IF(OR(AA128="",H128="",H128=0),"",AA128/H128-1)</f>
        <v/>
      </c>
      <c r="U128" s="31" t="str">
        <f aca="false">IF(OR(AB128="",I128="",I128=0),"",AB128/I128-1)</f>
        <v/>
      </c>
      <c r="V128" s="32" t="str">
        <f aca="false">IF(OR(J128="",IF(R128&lt;&gt;"",R128,N128)=""),"",(IF(R128&lt;&gt;"",R128,N128)-J128)*100)</f>
        <v/>
      </c>
      <c r="W128" s="33" t="str">
        <f aca="false">IF(OR(K128="",IF(S128&lt;&gt;"",S128,O128)=""),"",K128-IF(S128&lt;&gt;"",S128,O128))</f>
        <v/>
      </c>
      <c r="X128" s="34" t="str">
        <f aca="false">IF(F128="","",IF(E128="Redirected (301)",IF(AA128="","Pending","Redirected – see target"),IF(OR(AA128="",H128=""),"Pending",IF(H128=0,IF(AA128&gt;0,"Win","Neutral"),IF(AA128&gt;=H128*(1+'How to use'!$C$15),"Win",IF(AA128&lt;=H128*(1+'How to use'!$C$16),"Loss","Neutral"))))))</f>
        <v/>
      </c>
      <c r="Y128" s="35" t="str">
        <f aca="false">IF(OR(F128="",C128=""),"",IF(P128&lt;&gt;"","Done",IF(L128&lt;&gt;"",C128+'How to use'!$C$19+'How to use'!$C$17,C128+'How to use'!$C$18+'How to use'!$C$17)))</f>
        <v/>
      </c>
      <c r="Z128" s="9"/>
      <c r="AA128" s="36" t="str">
        <f aca="false">IF(P128&lt;&gt;"",P128,IF(L128&lt;&gt;"",L128,""))</f>
        <v/>
      </c>
      <c r="AB128" s="36" t="str">
        <f aca="false">IF(Q128&lt;&gt;"",Q128,IF(M128&lt;&gt;"",M128,""))</f>
        <v/>
      </c>
    </row>
    <row r="129" customFormat="false" ht="15" hidden="false" customHeight="false" outlineLevel="0" collapsed="false">
      <c r="A129" s="9"/>
      <c r="B129" s="9"/>
      <c r="C129" s="26"/>
      <c r="D129" s="9"/>
      <c r="E129" s="9"/>
      <c r="F129" s="9"/>
      <c r="G129" s="27"/>
      <c r="H129" s="28"/>
      <c r="I129" s="28"/>
      <c r="J129" s="29" t="str">
        <f aca="false">IF(OR(H129="",I129="",I129=0),"",H129/I129)</f>
        <v/>
      </c>
      <c r="K129" s="30"/>
      <c r="L129" s="28"/>
      <c r="M129" s="28"/>
      <c r="N129" s="29" t="str">
        <f aca="false">IF(OR(L129="",M129="",M129=0),"",L129/M129)</f>
        <v/>
      </c>
      <c r="O129" s="30"/>
      <c r="P129" s="28"/>
      <c r="Q129" s="28"/>
      <c r="R129" s="29" t="str">
        <f aca="false">IF(OR(P129="",Q129="",Q129=0),"",P129/Q129)</f>
        <v/>
      </c>
      <c r="S129" s="30"/>
      <c r="T129" s="31" t="str">
        <f aca="false">IF(OR(AA129="",H129="",H129=0),"",AA129/H129-1)</f>
        <v/>
      </c>
      <c r="U129" s="31" t="str">
        <f aca="false">IF(OR(AB129="",I129="",I129=0),"",AB129/I129-1)</f>
        <v/>
      </c>
      <c r="V129" s="32" t="str">
        <f aca="false">IF(OR(J129="",IF(R129&lt;&gt;"",R129,N129)=""),"",(IF(R129&lt;&gt;"",R129,N129)-J129)*100)</f>
        <v/>
      </c>
      <c r="W129" s="33" t="str">
        <f aca="false">IF(OR(K129="",IF(S129&lt;&gt;"",S129,O129)=""),"",K129-IF(S129&lt;&gt;"",S129,O129))</f>
        <v/>
      </c>
      <c r="X129" s="34" t="str">
        <f aca="false">IF(F129="","",IF(E129="Redirected (301)",IF(AA129="","Pending","Redirected – see target"),IF(OR(AA129="",H129=""),"Pending",IF(H129=0,IF(AA129&gt;0,"Win","Neutral"),IF(AA129&gt;=H129*(1+'How to use'!$C$15),"Win",IF(AA129&lt;=H129*(1+'How to use'!$C$16),"Loss","Neutral"))))))</f>
        <v/>
      </c>
      <c r="Y129" s="35" t="str">
        <f aca="false">IF(OR(F129="",C129=""),"",IF(P129&lt;&gt;"","Done",IF(L129&lt;&gt;"",C129+'How to use'!$C$19+'How to use'!$C$17,C129+'How to use'!$C$18+'How to use'!$C$17)))</f>
        <v/>
      </c>
      <c r="Z129" s="9"/>
      <c r="AA129" s="36" t="str">
        <f aca="false">IF(P129&lt;&gt;"",P129,IF(L129&lt;&gt;"",L129,""))</f>
        <v/>
      </c>
      <c r="AB129" s="36" t="str">
        <f aca="false">IF(Q129&lt;&gt;"",Q129,IF(M129&lt;&gt;"",M129,""))</f>
        <v/>
      </c>
    </row>
    <row r="130" customFormat="false" ht="15" hidden="false" customHeight="false" outlineLevel="0" collapsed="false">
      <c r="A130" s="9"/>
      <c r="B130" s="9"/>
      <c r="C130" s="26"/>
      <c r="D130" s="9"/>
      <c r="E130" s="9"/>
      <c r="F130" s="9"/>
      <c r="G130" s="27"/>
      <c r="H130" s="28"/>
      <c r="I130" s="28"/>
      <c r="J130" s="29" t="str">
        <f aca="false">IF(OR(H130="",I130="",I130=0),"",H130/I130)</f>
        <v/>
      </c>
      <c r="K130" s="30"/>
      <c r="L130" s="28"/>
      <c r="M130" s="28"/>
      <c r="N130" s="29" t="str">
        <f aca="false">IF(OR(L130="",M130="",M130=0),"",L130/M130)</f>
        <v/>
      </c>
      <c r="O130" s="30"/>
      <c r="P130" s="28"/>
      <c r="Q130" s="28"/>
      <c r="R130" s="29" t="str">
        <f aca="false">IF(OR(P130="",Q130="",Q130=0),"",P130/Q130)</f>
        <v/>
      </c>
      <c r="S130" s="30"/>
      <c r="T130" s="31" t="str">
        <f aca="false">IF(OR(AA130="",H130="",H130=0),"",AA130/H130-1)</f>
        <v/>
      </c>
      <c r="U130" s="31" t="str">
        <f aca="false">IF(OR(AB130="",I130="",I130=0),"",AB130/I130-1)</f>
        <v/>
      </c>
      <c r="V130" s="32" t="str">
        <f aca="false">IF(OR(J130="",IF(R130&lt;&gt;"",R130,N130)=""),"",(IF(R130&lt;&gt;"",R130,N130)-J130)*100)</f>
        <v/>
      </c>
      <c r="W130" s="33" t="str">
        <f aca="false">IF(OR(K130="",IF(S130&lt;&gt;"",S130,O130)=""),"",K130-IF(S130&lt;&gt;"",S130,O130))</f>
        <v/>
      </c>
      <c r="X130" s="34" t="str">
        <f aca="false">IF(F130="","",IF(E130="Redirected (301)",IF(AA130="","Pending","Redirected – see target"),IF(OR(AA130="",H130=""),"Pending",IF(H130=0,IF(AA130&gt;0,"Win","Neutral"),IF(AA130&gt;=H130*(1+'How to use'!$C$15),"Win",IF(AA130&lt;=H130*(1+'How to use'!$C$16),"Loss","Neutral"))))))</f>
        <v/>
      </c>
      <c r="Y130" s="35" t="str">
        <f aca="false">IF(OR(F130="",C130=""),"",IF(P130&lt;&gt;"","Done",IF(L130&lt;&gt;"",C130+'How to use'!$C$19+'How to use'!$C$17,C130+'How to use'!$C$18+'How to use'!$C$17)))</f>
        <v/>
      </c>
      <c r="Z130" s="9"/>
      <c r="AA130" s="36" t="str">
        <f aca="false">IF(P130&lt;&gt;"",P130,IF(L130&lt;&gt;"",L130,""))</f>
        <v/>
      </c>
      <c r="AB130" s="36" t="str">
        <f aca="false">IF(Q130&lt;&gt;"",Q130,IF(M130&lt;&gt;"",M130,""))</f>
        <v/>
      </c>
    </row>
    <row r="131" customFormat="false" ht="15" hidden="false" customHeight="false" outlineLevel="0" collapsed="false">
      <c r="A131" s="9"/>
      <c r="B131" s="9"/>
      <c r="C131" s="26"/>
      <c r="D131" s="9"/>
      <c r="E131" s="9"/>
      <c r="F131" s="9"/>
      <c r="G131" s="27"/>
      <c r="H131" s="28"/>
      <c r="I131" s="28"/>
      <c r="J131" s="29" t="str">
        <f aca="false">IF(OR(H131="",I131="",I131=0),"",H131/I131)</f>
        <v/>
      </c>
      <c r="K131" s="30"/>
      <c r="L131" s="28"/>
      <c r="M131" s="28"/>
      <c r="N131" s="29" t="str">
        <f aca="false">IF(OR(L131="",M131="",M131=0),"",L131/M131)</f>
        <v/>
      </c>
      <c r="O131" s="30"/>
      <c r="P131" s="28"/>
      <c r="Q131" s="28"/>
      <c r="R131" s="29" t="str">
        <f aca="false">IF(OR(P131="",Q131="",Q131=0),"",P131/Q131)</f>
        <v/>
      </c>
      <c r="S131" s="30"/>
      <c r="T131" s="31" t="str">
        <f aca="false">IF(OR(AA131="",H131="",H131=0),"",AA131/H131-1)</f>
        <v/>
      </c>
      <c r="U131" s="31" t="str">
        <f aca="false">IF(OR(AB131="",I131="",I131=0),"",AB131/I131-1)</f>
        <v/>
      </c>
      <c r="V131" s="32" t="str">
        <f aca="false">IF(OR(J131="",IF(R131&lt;&gt;"",R131,N131)=""),"",(IF(R131&lt;&gt;"",R131,N131)-J131)*100)</f>
        <v/>
      </c>
      <c r="W131" s="33" t="str">
        <f aca="false">IF(OR(K131="",IF(S131&lt;&gt;"",S131,O131)=""),"",K131-IF(S131&lt;&gt;"",S131,O131))</f>
        <v/>
      </c>
      <c r="X131" s="34" t="str">
        <f aca="false">IF(F131="","",IF(E131="Redirected (301)",IF(AA131="","Pending","Redirected – see target"),IF(OR(AA131="",H131=""),"Pending",IF(H131=0,IF(AA131&gt;0,"Win","Neutral"),IF(AA131&gt;=H131*(1+'How to use'!$C$15),"Win",IF(AA131&lt;=H131*(1+'How to use'!$C$16),"Loss","Neutral"))))))</f>
        <v/>
      </c>
      <c r="Y131" s="35" t="str">
        <f aca="false">IF(OR(F131="",C131=""),"",IF(P131&lt;&gt;"","Done",IF(L131&lt;&gt;"",C131+'How to use'!$C$19+'How to use'!$C$17,C131+'How to use'!$C$18+'How to use'!$C$17)))</f>
        <v/>
      </c>
      <c r="Z131" s="9"/>
      <c r="AA131" s="36" t="str">
        <f aca="false">IF(P131&lt;&gt;"",P131,IF(L131&lt;&gt;"",L131,""))</f>
        <v/>
      </c>
      <c r="AB131" s="36" t="str">
        <f aca="false">IF(Q131&lt;&gt;"",Q131,IF(M131&lt;&gt;"",M131,""))</f>
        <v/>
      </c>
    </row>
    <row r="132" customFormat="false" ht="15" hidden="false" customHeight="false" outlineLevel="0" collapsed="false">
      <c r="A132" s="9"/>
      <c r="B132" s="9"/>
      <c r="C132" s="26"/>
      <c r="D132" s="9"/>
      <c r="E132" s="9"/>
      <c r="F132" s="9"/>
      <c r="G132" s="27"/>
      <c r="H132" s="28"/>
      <c r="I132" s="28"/>
      <c r="J132" s="29" t="str">
        <f aca="false">IF(OR(H132="",I132="",I132=0),"",H132/I132)</f>
        <v/>
      </c>
      <c r="K132" s="30"/>
      <c r="L132" s="28"/>
      <c r="M132" s="28"/>
      <c r="N132" s="29" t="str">
        <f aca="false">IF(OR(L132="",M132="",M132=0),"",L132/M132)</f>
        <v/>
      </c>
      <c r="O132" s="30"/>
      <c r="P132" s="28"/>
      <c r="Q132" s="28"/>
      <c r="R132" s="29" t="str">
        <f aca="false">IF(OR(P132="",Q132="",Q132=0),"",P132/Q132)</f>
        <v/>
      </c>
      <c r="S132" s="30"/>
      <c r="T132" s="31" t="str">
        <f aca="false">IF(OR(AA132="",H132="",H132=0),"",AA132/H132-1)</f>
        <v/>
      </c>
      <c r="U132" s="31" t="str">
        <f aca="false">IF(OR(AB132="",I132="",I132=0),"",AB132/I132-1)</f>
        <v/>
      </c>
      <c r="V132" s="32" t="str">
        <f aca="false">IF(OR(J132="",IF(R132&lt;&gt;"",R132,N132)=""),"",(IF(R132&lt;&gt;"",R132,N132)-J132)*100)</f>
        <v/>
      </c>
      <c r="W132" s="33" t="str">
        <f aca="false">IF(OR(K132="",IF(S132&lt;&gt;"",S132,O132)=""),"",K132-IF(S132&lt;&gt;"",S132,O132))</f>
        <v/>
      </c>
      <c r="X132" s="34" t="str">
        <f aca="false">IF(F132="","",IF(E132="Redirected (301)",IF(AA132="","Pending","Redirected – see target"),IF(OR(AA132="",H132=""),"Pending",IF(H132=0,IF(AA132&gt;0,"Win","Neutral"),IF(AA132&gt;=H132*(1+'How to use'!$C$15),"Win",IF(AA132&lt;=H132*(1+'How to use'!$C$16),"Loss","Neutral"))))))</f>
        <v/>
      </c>
      <c r="Y132" s="35" t="str">
        <f aca="false">IF(OR(F132="",C132=""),"",IF(P132&lt;&gt;"","Done",IF(L132&lt;&gt;"",C132+'How to use'!$C$19+'How to use'!$C$17,C132+'How to use'!$C$18+'How to use'!$C$17)))</f>
        <v/>
      </c>
      <c r="Z132" s="9"/>
      <c r="AA132" s="36" t="str">
        <f aca="false">IF(P132&lt;&gt;"",P132,IF(L132&lt;&gt;"",L132,""))</f>
        <v/>
      </c>
      <c r="AB132" s="36" t="str">
        <f aca="false">IF(Q132&lt;&gt;"",Q132,IF(M132&lt;&gt;"",M132,""))</f>
        <v/>
      </c>
    </row>
    <row r="133" customFormat="false" ht="15" hidden="false" customHeight="false" outlineLevel="0" collapsed="false">
      <c r="A133" s="9"/>
      <c r="B133" s="9"/>
      <c r="C133" s="26"/>
      <c r="D133" s="9"/>
      <c r="E133" s="9"/>
      <c r="F133" s="9"/>
      <c r="G133" s="27"/>
      <c r="H133" s="28"/>
      <c r="I133" s="28"/>
      <c r="J133" s="29" t="str">
        <f aca="false">IF(OR(H133="",I133="",I133=0),"",H133/I133)</f>
        <v/>
      </c>
      <c r="K133" s="30"/>
      <c r="L133" s="28"/>
      <c r="M133" s="28"/>
      <c r="N133" s="29" t="str">
        <f aca="false">IF(OR(L133="",M133="",M133=0),"",L133/M133)</f>
        <v/>
      </c>
      <c r="O133" s="30"/>
      <c r="P133" s="28"/>
      <c r="Q133" s="28"/>
      <c r="R133" s="29" t="str">
        <f aca="false">IF(OR(P133="",Q133="",Q133=0),"",P133/Q133)</f>
        <v/>
      </c>
      <c r="S133" s="30"/>
      <c r="T133" s="31" t="str">
        <f aca="false">IF(OR(AA133="",H133="",H133=0),"",AA133/H133-1)</f>
        <v/>
      </c>
      <c r="U133" s="31" t="str">
        <f aca="false">IF(OR(AB133="",I133="",I133=0),"",AB133/I133-1)</f>
        <v/>
      </c>
      <c r="V133" s="32" t="str">
        <f aca="false">IF(OR(J133="",IF(R133&lt;&gt;"",R133,N133)=""),"",(IF(R133&lt;&gt;"",R133,N133)-J133)*100)</f>
        <v/>
      </c>
      <c r="W133" s="33" t="str">
        <f aca="false">IF(OR(K133="",IF(S133&lt;&gt;"",S133,O133)=""),"",K133-IF(S133&lt;&gt;"",S133,O133))</f>
        <v/>
      </c>
      <c r="X133" s="34" t="str">
        <f aca="false">IF(F133="","",IF(E133="Redirected (301)",IF(AA133="","Pending","Redirected – see target"),IF(OR(AA133="",H133=""),"Pending",IF(H133=0,IF(AA133&gt;0,"Win","Neutral"),IF(AA133&gt;=H133*(1+'How to use'!$C$15),"Win",IF(AA133&lt;=H133*(1+'How to use'!$C$16),"Loss","Neutral"))))))</f>
        <v/>
      </c>
      <c r="Y133" s="35" t="str">
        <f aca="false">IF(OR(F133="",C133=""),"",IF(P133&lt;&gt;"","Done",IF(L133&lt;&gt;"",C133+'How to use'!$C$19+'How to use'!$C$17,C133+'How to use'!$C$18+'How to use'!$C$17)))</f>
        <v/>
      </c>
      <c r="Z133" s="9"/>
      <c r="AA133" s="36" t="str">
        <f aca="false">IF(P133&lt;&gt;"",P133,IF(L133&lt;&gt;"",L133,""))</f>
        <v/>
      </c>
      <c r="AB133" s="36" t="str">
        <f aca="false">IF(Q133&lt;&gt;"",Q133,IF(M133&lt;&gt;"",M133,""))</f>
        <v/>
      </c>
    </row>
    <row r="134" customFormat="false" ht="15" hidden="false" customHeight="false" outlineLevel="0" collapsed="false">
      <c r="A134" s="9"/>
      <c r="B134" s="9"/>
      <c r="C134" s="26"/>
      <c r="D134" s="9"/>
      <c r="E134" s="9"/>
      <c r="F134" s="9"/>
      <c r="G134" s="27"/>
      <c r="H134" s="28"/>
      <c r="I134" s="28"/>
      <c r="J134" s="29" t="str">
        <f aca="false">IF(OR(H134="",I134="",I134=0),"",H134/I134)</f>
        <v/>
      </c>
      <c r="K134" s="30"/>
      <c r="L134" s="28"/>
      <c r="M134" s="28"/>
      <c r="N134" s="29" t="str">
        <f aca="false">IF(OR(L134="",M134="",M134=0),"",L134/M134)</f>
        <v/>
      </c>
      <c r="O134" s="30"/>
      <c r="P134" s="28"/>
      <c r="Q134" s="28"/>
      <c r="R134" s="29" t="str">
        <f aca="false">IF(OR(P134="",Q134="",Q134=0),"",P134/Q134)</f>
        <v/>
      </c>
      <c r="S134" s="30"/>
      <c r="T134" s="31" t="str">
        <f aca="false">IF(OR(AA134="",H134="",H134=0),"",AA134/H134-1)</f>
        <v/>
      </c>
      <c r="U134" s="31" t="str">
        <f aca="false">IF(OR(AB134="",I134="",I134=0),"",AB134/I134-1)</f>
        <v/>
      </c>
      <c r="V134" s="32" t="str">
        <f aca="false">IF(OR(J134="",IF(R134&lt;&gt;"",R134,N134)=""),"",(IF(R134&lt;&gt;"",R134,N134)-J134)*100)</f>
        <v/>
      </c>
      <c r="W134" s="33" t="str">
        <f aca="false">IF(OR(K134="",IF(S134&lt;&gt;"",S134,O134)=""),"",K134-IF(S134&lt;&gt;"",S134,O134))</f>
        <v/>
      </c>
      <c r="X134" s="34" t="str">
        <f aca="false">IF(F134="","",IF(E134="Redirected (301)",IF(AA134="","Pending","Redirected – see target"),IF(OR(AA134="",H134=""),"Pending",IF(H134=0,IF(AA134&gt;0,"Win","Neutral"),IF(AA134&gt;=H134*(1+'How to use'!$C$15),"Win",IF(AA134&lt;=H134*(1+'How to use'!$C$16),"Loss","Neutral"))))))</f>
        <v/>
      </c>
      <c r="Y134" s="35" t="str">
        <f aca="false">IF(OR(F134="",C134=""),"",IF(P134&lt;&gt;"","Done",IF(L134&lt;&gt;"",C134+'How to use'!$C$19+'How to use'!$C$17,C134+'How to use'!$C$18+'How to use'!$C$17)))</f>
        <v/>
      </c>
      <c r="Z134" s="9"/>
      <c r="AA134" s="36" t="str">
        <f aca="false">IF(P134&lt;&gt;"",P134,IF(L134&lt;&gt;"",L134,""))</f>
        <v/>
      </c>
      <c r="AB134" s="36" t="str">
        <f aca="false">IF(Q134&lt;&gt;"",Q134,IF(M134&lt;&gt;"",M134,""))</f>
        <v/>
      </c>
    </row>
    <row r="135" customFormat="false" ht="15" hidden="false" customHeight="false" outlineLevel="0" collapsed="false">
      <c r="A135" s="9"/>
      <c r="B135" s="9"/>
      <c r="C135" s="26"/>
      <c r="D135" s="9"/>
      <c r="E135" s="9"/>
      <c r="F135" s="9"/>
      <c r="G135" s="27"/>
      <c r="H135" s="28"/>
      <c r="I135" s="28"/>
      <c r="J135" s="29" t="str">
        <f aca="false">IF(OR(H135="",I135="",I135=0),"",H135/I135)</f>
        <v/>
      </c>
      <c r="K135" s="30"/>
      <c r="L135" s="28"/>
      <c r="M135" s="28"/>
      <c r="N135" s="29" t="str">
        <f aca="false">IF(OR(L135="",M135="",M135=0),"",L135/M135)</f>
        <v/>
      </c>
      <c r="O135" s="30"/>
      <c r="P135" s="28"/>
      <c r="Q135" s="28"/>
      <c r="R135" s="29" t="str">
        <f aca="false">IF(OR(P135="",Q135="",Q135=0),"",P135/Q135)</f>
        <v/>
      </c>
      <c r="S135" s="30"/>
      <c r="T135" s="31" t="str">
        <f aca="false">IF(OR(AA135="",H135="",H135=0),"",AA135/H135-1)</f>
        <v/>
      </c>
      <c r="U135" s="31" t="str">
        <f aca="false">IF(OR(AB135="",I135="",I135=0),"",AB135/I135-1)</f>
        <v/>
      </c>
      <c r="V135" s="32" t="str">
        <f aca="false">IF(OR(J135="",IF(R135&lt;&gt;"",R135,N135)=""),"",(IF(R135&lt;&gt;"",R135,N135)-J135)*100)</f>
        <v/>
      </c>
      <c r="W135" s="33" t="str">
        <f aca="false">IF(OR(K135="",IF(S135&lt;&gt;"",S135,O135)=""),"",K135-IF(S135&lt;&gt;"",S135,O135))</f>
        <v/>
      </c>
      <c r="X135" s="34" t="str">
        <f aca="false">IF(F135="","",IF(E135="Redirected (301)",IF(AA135="","Pending","Redirected – see target"),IF(OR(AA135="",H135=""),"Pending",IF(H135=0,IF(AA135&gt;0,"Win","Neutral"),IF(AA135&gt;=H135*(1+'How to use'!$C$15),"Win",IF(AA135&lt;=H135*(1+'How to use'!$C$16),"Loss","Neutral"))))))</f>
        <v/>
      </c>
      <c r="Y135" s="35" t="str">
        <f aca="false">IF(OR(F135="",C135=""),"",IF(P135&lt;&gt;"","Done",IF(L135&lt;&gt;"",C135+'How to use'!$C$19+'How to use'!$C$17,C135+'How to use'!$C$18+'How to use'!$C$17)))</f>
        <v/>
      </c>
      <c r="Z135" s="9"/>
      <c r="AA135" s="36" t="str">
        <f aca="false">IF(P135&lt;&gt;"",P135,IF(L135&lt;&gt;"",L135,""))</f>
        <v/>
      </c>
      <c r="AB135" s="36" t="str">
        <f aca="false">IF(Q135&lt;&gt;"",Q135,IF(M135&lt;&gt;"",M135,""))</f>
        <v/>
      </c>
    </row>
    <row r="136" customFormat="false" ht="15" hidden="false" customHeight="false" outlineLevel="0" collapsed="false">
      <c r="A136" s="9"/>
      <c r="B136" s="9"/>
      <c r="C136" s="26"/>
      <c r="D136" s="9"/>
      <c r="E136" s="9"/>
      <c r="F136" s="9"/>
      <c r="G136" s="27"/>
      <c r="H136" s="28"/>
      <c r="I136" s="28"/>
      <c r="J136" s="29" t="str">
        <f aca="false">IF(OR(H136="",I136="",I136=0),"",H136/I136)</f>
        <v/>
      </c>
      <c r="K136" s="30"/>
      <c r="L136" s="28"/>
      <c r="M136" s="28"/>
      <c r="N136" s="29" t="str">
        <f aca="false">IF(OR(L136="",M136="",M136=0),"",L136/M136)</f>
        <v/>
      </c>
      <c r="O136" s="30"/>
      <c r="P136" s="28"/>
      <c r="Q136" s="28"/>
      <c r="R136" s="29" t="str">
        <f aca="false">IF(OR(P136="",Q136="",Q136=0),"",P136/Q136)</f>
        <v/>
      </c>
      <c r="S136" s="30"/>
      <c r="T136" s="31" t="str">
        <f aca="false">IF(OR(AA136="",H136="",H136=0),"",AA136/H136-1)</f>
        <v/>
      </c>
      <c r="U136" s="31" t="str">
        <f aca="false">IF(OR(AB136="",I136="",I136=0),"",AB136/I136-1)</f>
        <v/>
      </c>
      <c r="V136" s="32" t="str">
        <f aca="false">IF(OR(J136="",IF(R136&lt;&gt;"",R136,N136)=""),"",(IF(R136&lt;&gt;"",R136,N136)-J136)*100)</f>
        <v/>
      </c>
      <c r="W136" s="33" t="str">
        <f aca="false">IF(OR(K136="",IF(S136&lt;&gt;"",S136,O136)=""),"",K136-IF(S136&lt;&gt;"",S136,O136))</f>
        <v/>
      </c>
      <c r="X136" s="34" t="str">
        <f aca="false">IF(F136="","",IF(E136="Redirected (301)",IF(AA136="","Pending","Redirected – see target"),IF(OR(AA136="",H136=""),"Pending",IF(H136=0,IF(AA136&gt;0,"Win","Neutral"),IF(AA136&gt;=H136*(1+'How to use'!$C$15),"Win",IF(AA136&lt;=H136*(1+'How to use'!$C$16),"Loss","Neutral"))))))</f>
        <v/>
      </c>
      <c r="Y136" s="35" t="str">
        <f aca="false">IF(OR(F136="",C136=""),"",IF(P136&lt;&gt;"","Done",IF(L136&lt;&gt;"",C136+'How to use'!$C$19+'How to use'!$C$17,C136+'How to use'!$C$18+'How to use'!$C$17)))</f>
        <v/>
      </c>
      <c r="Z136" s="9"/>
      <c r="AA136" s="36" t="str">
        <f aca="false">IF(P136&lt;&gt;"",P136,IF(L136&lt;&gt;"",L136,""))</f>
        <v/>
      </c>
      <c r="AB136" s="36" t="str">
        <f aca="false">IF(Q136&lt;&gt;"",Q136,IF(M136&lt;&gt;"",M136,""))</f>
        <v/>
      </c>
    </row>
    <row r="137" customFormat="false" ht="15" hidden="false" customHeight="false" outlineLevel="0" collapsed="false">
      <c r="A137" s="9"/>
      <c r="B137" s="9"/>
      <c r="C137" s="26"/>
      <c r="D137" s="9"/>
      <c r="E137" s="9"/>
      <c r="F137" s="9"/>
      <c r="G137" s="27"/>
      <c r="H137" s="28"/>
      <c r="I137" s="28"/>
      <c r="J137" s="29" t="str">
        <f aca="false">IF(OR(H137="",I137="",I137=0),"",H137/I137)</f>
        <v/>
      </c>
      <c r="K137" s="30"/>
      <c r="L137" s="28"/>
      <c r="M137" s="28"/>
      <c r="N137" s="29" t="str">
        <f aca="false">IF(OR(L137="",M137="",M137=0),"",L137/M137)</f>
        <v/>
      </c>
      <c r="O137" s="30"/>
      <c r="P137" s="28"/>
      <c r="Q137" s="28"/>
      <c r="R137" s="29" t="str">
        <f aca="false">IF(OR(P137="",Q137="",Q137=0),"",P137/Q137)</f>
        <v/>
      </c>
      <c r="S137" s="30"/>
      <c r="T137" s="31" t="str">
        <f aca="false">IF(OR(AA137="",H137="",H137=0),"",AA137/H137-1)</f>
        <v/>
      </c>
      <c r="U137" s="31" t="str">
        <f aca="false">IF(OR(AB137="",I137="",I137=0),"",AB137/I137-1)</f>
        <v/>
      </c>
      <c r="V137" s="32" t="str">
        <f aca="false">IF(OR(J137="",IF(R137&lt;&gt;"",R137,N137)=""),"",(IF(R137&lt;&gt;"",R137,N137)-J137)*100)</f>
        <v/>
      </c>
      <c r="W137" s="33" t="str">
        <f aca="false">IF(OR(K137="",IF(S137&lt;&gt;"",S137,O137)=""),"",K137-IF(S137&lt;&gt;"",S137,O137))</f>
        <v/>
      </c>
      <c r="X137" s="34" t="str">
        <f aca="false">IF(F137="","",IF(E137="Redirected (301)",IF(AA137="","Pending","Redirected – see target"),IF(OR(AA137="",H137=""),"Pending",IF(H137=0,IF(AA137&gt;0,"Win","Neutral"),IF(AA137&gt;=H137*(1+'How to use'!$C$15),"Win",IF(AA137&lt;=H137*(1+'How to use'!$C$16),"Loss","Neutral"))))))</f>
        <v/>
      </c>
      <c r="Y137" s="35" t="str">
        <f aca="false">IF(OR(F137="",C137=""),"",IF(P137&lt;&gt;"","Done",IF(L137&lt;&gt;"",C137+'How to use'!$C$19+'How to use'!$C$17,C137+'How to use'!$C$18+'How to use'!$C$17)))</f>
        <v/>
      </c>
      <c r="Z137" s="9"/>
      <c r="AA137" s="36" t="str">
        <f aca="false">IF(P137&lt;&gt;"",P137,IF(L137&lt;&gt;"",L137,""))</f>
        <v/>
      </c>
      <c r="AB137" s="36" t="str">
        <f aca="false">IF(Q137&lt;&gt;"",Q137,IF(M137&lt;&gt;"",M137,""))</f>
        <v/>
      </c>
    </row>
    <row r="138" customFormat="false" ht="15" hidden="false" customHeight="false" outlineLevel="0" collapsed="false">
      <c r="A138" s="9"/>
      <c r="B138" s="9"/>
      <c r="C138" s="26"/>
      <c r="D138" s="9"/>
      <c r="E138" s="9"/>
      <c r="F138" s="9"/>
      <c r="G138" s="27"/>
      <c r="H138" s="28"/>
      <c r="I138" s="28"/>
      <c r="J138" s="29" t="str">
        <f aca="false">IF(OR(H138="",I138="",I138=0),"",H138/I138)</f>
        <v/>
      </c>
      <c r="K138" s="30"/>
      <c r="L138" s="28"/>
      <c r="M138" s="28"/>
      <c r="N138" s="29" t="str">
        <f aca="false">IF(OR(L138="",M138="",M138=0),"",L138/M138)</f>
        <v/>
      </c>
      <c r="O138" s="30"/>
      <c r="P138" s="28"/>
      <c r="Q138" s="28"/>
      <c r="R138" s="29" t="str">
        <f aca="false">IF(OR(P138="",Q138="",Q138=0),"",P138/Q138)</f>
        <v/>
      </c>
      <c r="S138" s="30"/>
      <c r="T138" s="31" t="str">
        <f aca="false">IF(OR(AA138="",H138="",H138=0),"",AA138/H138-1)</f>
        <v/>
      </c>
      <c r="U138" s="31" t="str">
        <f aca="false">IF(OR(AB138="",I138="",I138=0),"",AB138/I138-1)</f>
        <v/>
      </c>
      <c r="V138" s="32" t="str">
        <f aca="false">IF(OR(J138="",IF(R138&lt;&gt;"",R138,N138)=""),"",(IF(R138&lt;&gt;"",R138,N138)-J138)*100)</f>
        <v/>
      </c>
      <c r="W138" s="33" t="str">
        <f aca="false">IF(OR(K138="",IF(S138&lt;&gt;"",S138,O138)=""),"",K138-IF(S138&lt;&gt;"",S138,O138))</f>
        <v/>
      </c>
      <c r="X138" s="34" t="str">
        <f aca="false">IF(F138="","",IF(E138="Redirected (301)",IF(AA138="","Pending","Redirected – see target"),IF(OR(AA138="",H138=""),"Pending",IF(H138=0,IF(AA138&gt;0,"Win","Neutral"),IF(AA138&gt;=H138*(1+'How to use'!$C$15),"Win",IF(AA138&lt;=H138*(1+'How to use'!$C$16),"Loss","Neutral"))))))</f>
        <v/>
      </c>
      <c r="Y138" s="35" t="str">
        <f aca="false">IF(OR(F138="",C138=""),"",IF(P138&lt;&gt;"","Done",IF(L138&lt;&gt;"",C138+'How to use'!$C$19+'How to use'!$C$17,C138+'How to use'!$C$18+'How to use'!$C$17)))</f>
        <v/>
      </c>
      <c r="Z138" s="9"/>
      <c r="AA138" s="36" t="str">
        <f aca="false">IF(P138&lt;&gt;"",P138,IF(L138&lt;&gt;"",L138,""))</f>
        <v/>
      </c>
      <c r="AB138" s="36" t="str">
        <f aca="false">IF(Q138&lt;&gt;"",Q138,IF(M138&lt;&gt;"",M138,""))</f>
        <v/>
      </c>
    </row>
    <row r="139" customFormat="false" ht="15" hidden="false" customHeight="false" outlineLevel="0" collapsed="false">
      <c r="A139" s="9"/>
      <c r="B139" s="9"/>
      <c r="C139" s="26"/>
      <c r="D139" s="9"/>
      <c r="E139" s="9"/>
      <c r="F139" s="9"/>
      <c r="G139" s="27"/>
      <c r="H139" s="28"/>
      <c r="I139" s="28"/>
      <c r="J139" s="29" t="str">
        <f aca="false">IF(OR(H139="",I139="",I139=0),"",H139/I139)</f>
        <v/>
      </c>
      <c r="K139" s="30"/>
      <c r="L139" s="28"/>
      <c r="M139" s="28"/>
      <c r="N139" s="29" t="str">
        <f aca="false">IF(OR(L139="",M139="",M139=0),"",L139/M139)</f>
        <v/>
      </c>
      <c r="O139" s="30"/>
      <c r="P139" s="28"/>
      <c r="Q139" s="28"/>
      <c r="R139" s="29" t="str">
        <f aca="false">IF(OR(P139="",Q139="",Q139=0),"",P139/Q139)</f>
        <v/>
      </c>
      <c r="S139" s="30"/>
      <c r="T139" s="31" t="str">
        <f aca="false">IF(OR(AA139="",H139="",H139=0),"",AA139/H139-1)</f>
        <v/>
      </c>
      <c r="U139" s="31" t="str">
        <f aca="false">IF(OR(AB139="",I139="",I139=0),"",AB139/I139-1)</f>
        <v/>
      </c>
      <c r="V139" s="32" t="str">
        <f aca="false">IF(OR(J139="",IF(R139&lt;&gt;"",R139,N139)=""),"",(IF(R139&lt;&gt;"",R139,N139)-J139)*100)</f>
        <v/>
      </c>
      <c r="W139" s="33" t="str">
        <f aca="false">IF(OR(K139="",IF(S139&lt;&gt;"",S139,O139)=""),"",K139-IF(S139&lt;&gt;"",S139,O139))</f>
        <v/>
      </c>
      <c r="X139" s="34" t="str">
        <f aca="false">IF(F139="","",IF(E139="Redirected (301)",IF(AA139="","Pending","Redirected – see target"),IF(OR(AA139="",H139=""),"Pending",IF(H139=0,IF(AA139&gt;0,"Win","Neutral"),IF(AA139&gt;=H139*(1+'How to use'!$C$15),"Win",IF(AA139&lt;=H139*(1+'How to use'!$C$16),"Loss","Neutral"))))))</f>
        <v/>
      </c>
      <c r="Y139" s="35" t="str">
        <f aca="false">IF(OR(F139="",C139=""),"",IF(P139&lt;&gt;"","Done",IF(L139&lt;&gt;"",C139+'How to use'!$C$19+'How to use'!$C$17,C139+'How to use'!$C$18+'How to use'!$C$17)))</f>
        <v/>
      </c>
      <c r="Z139" s="9"/>
      <c r="AA139" s="36" t="str">
        <f aca="false">IF(P139&lt;&gt;"",P139,IF(L139&lt;&gt;"",L139,""))</f>
        <v/>
      </c>
      <c r="AB139" s="36" t="str">
        <f aca="false">IF(Q139&lt;&gt;"",Q139,IF(M139&lt;&gt;"",M139,""))</f>
        <v/>
      </c>
    </row>
    <row r="140" customFormat="false" ht="15" hidden="false" customHeight="false" outlineLevel="0" collapsed="false">
      <c r="A140" s="9"/>
      <c r="B140" s="9"/>
      <c r="C140" s="26"/>
      <c r="D140" s="9"/>
      <c r="E140" s="9"/>
      <c r="F140" s="9"/>
      <c r="G140" s="27"/>
      <c r="H140" s="28"/>
      <c r="I140" s="28"/>
      <c r="J140" s="29" t="str">
        <f aca="false">IF(OR(H140="",I140="",I140=0),"",H140/I140)</f>
        <v/>
      </c>
      <c r="K140" s="30"/>
      <c r="L140" s="28"/>
      <c r="M140" s="28"/>
      <c r="N140" s="29" t="str">
        <f aca="false">IF(OR(L140="",M140="",M140=0),"",L140/M140)</f>
        <v/>
      </c>
      <c r="O140" s="30"/>
      <c r="P140" s="28"/>
      <c r="Q140" s="28"/>
      <c r="R140" s="29" t="str">
        <f aca="false">IF(OR(P140="",Q140="",Q140=0),"",P140/Q140)</f>
        <v/>
      </c>
      <c r="S140" s="30"/>
      <c r="T140" s="31" t="str">
        <f aca="false">IF(OR(AA140="",H140="",H140=0),"",AA140/H140-1)</f>
        <v/>
      </c>
      <c r="U140" s="31" t="str">
        <f aca="false">IF(OR(AB140="",I140="",I140=0),"",AB140/I140-1)</f>
        <v/>
      </c>
      <c r="V140" s="32" t="str">
        <f aca="false">IF(OR(J140="",IF(R140&lt;&gt;"",R140,N140)=""),"",(IF(R140&lt;&gt;"",R140,N140)-J140)*100)</f>
        <v/>
      </c>
      <c r="W140" s="33" t="str">
        <f aca="false">IF(OR(K140="",IF(S140&lt;&gt;"",S140,O140)=""),"",K140-IF(S140&lt;&gt;"",S140,O140))</f>
        <v/>
      </c>
      <c r="X140" s="34" t="str">
        <f aca="false">IF(F140="","",IF(E140="Redirected (301)",IF(AA140="","Pending","Redirected – see target"),IF(OR(AA140="",H140=""),"Pending",IF(H140=0,IF(AA140&gt;0,"Win","Neutral"),IF(AA140&gt;=H140*(1+'How to use'!$C$15),"Win",IF(AA140&lt;=H140*(1+'How to use'!$C$16),"Loss","Neutral"))))))</f>
        <v/>
      </c>
      <c r="Y140" s="35" t="str">
        <f aca="false">IF(OR(F140="",C140=""),"",IF(P140&lt;&gt;"","Done",IF(L140&lt;&gt;"",C140+'How to use'!$C$19+'How to use'!$C$17,C140+'How to use'!$C$18+'How to use'!$C$17)))</f>
        <v/>
      </c>
      <c r="Z140" s="9"/>
      <c r="AA140" s="36" t="str">
        <f aca="false">IF(P140&lt;&gt;"",P140,IF(L140&lt;&gt;"",L140,""))</f>
        <v/>
      </c>
      <c r="AB140" s="36" t="str">
        <f aca="false">IF(Q140&lt;&gt;"",Q140,IF(M140&lt;&gt;"",M140,""))</f>
        <v/>
      </c>
    </row>
    <row r="141" customFormat="false" ht="15" hidden="false" customHeight="false" outlineLevel="0" collapsed="false">
      <c r="A141" s="9"/>
      <c r="B141" s="9"/>
      <c r="C141" s="26"/>
      <c r="D141" s="9"/>
      <c r="E141" s="9"/>
      <c r="F141" s="9"/>
      <c r="G141" s="27"/>
      <c r="H141" s="28"/>
      <c r="I141" s="28"/>
      <c r="J141" s="29" t="str">
        <f aca="false">IF(OR(H141="",I141="",I141=0),"",H141/I141)</f>
        <v/>
      </c>
      <c r="K141" s="30"/>
      <c r="L141" s="28"/>
      <c r="M141" s="28"/>
      <c r="N141" s="29" t="str">
        <f aca="false">IF(OR(L141="",M141="",M141=0),"",L141/M141)</f>
        <v/>
      </c>
      <c r="O141" s="30"/>
      <c r="P141" s="28"/>
      <c r="Q141" s="28"/>
      <c r="R141" s="29" t="str">
        <f aca="false">IF(OR(P141="",Q141="",Q141=0),"",P141/Q141)</f>
        <v/>
      </c>
      <c r="S141" s="30"/>
      <c r="T141" s="31" t="str">
        <f aca="false">IF(OR(AA141="",H141="",H141=0),"",AA141/H141-1)</f>
        <v/>
      </c>
      <c r="U141" s="31" t="str">
        <f aca="false">IF(OR(AB141="",I141="",I141=0),"",AB141/I141-1)</f>
        <v/>
      </c>
      <c r="V141" s="32" t="str">
        <f aca="false">IF(OR(J141="",IF(R141&lt;&gt;"",R141,N141)=""),"",(IF(R141&lt;&gt;"",R141,N141)-J141)*100)</f>
        <v/>
      </c>
      <c r="W141" s="33" t="str">
        <f aca="false">IF(OR(K141="",IF(S141&lt;&gt;"",S141,O141)=""),"",K141-IF(S141&lt;&gt;"",S141,O141))</f>
        <v/>
      </c>
      <c r="X141" s="34" t="str">
        <f aca="false">IF(F141="","",IF(E141="Redirected (301)",IF(AA141="","Pending","Redirected – see target"),IF(OR(AA141="",H141=""),"Pending",IF(H141=0,IF(AA141&gt;0,"Win","Neutral"),IF(AA141&gt;=H141*(1+'How to use'!$C$15),"Win",IF(AA141&lt;=H141*(1+'How to use'!$C$16),"Loss","Neutral"))))))</f>
        <v/>
      </c>
      <c r="Y141" s="35" t="str">
        <f aca="false">IF(OR(F141="",C141=""),"",IF(P141&lt;&gt;"","Done",IF(L141&lt;&gt;"",C141+'How to use'!$C$19+'How to use'!$C$17,C141+'How to use'!$C$18+'How to use'!$C$17)))</f>
        <v/>
      </c>
      <c r="Z141" s="9"/>
      <c r="AA141" s="36" t="str">
        <f aca="false">IF(P141&lt;&gt;"",P141,IF(L141&lt;&gt;"",L141,""))</f>
        <v/>
      </c>
      <c r="AB141" s="36" t="str">
        <f aca="false">IF(Q141&lt;&gt;"",Q141,IF(M141&lt;&gt;"",M141,""))</f>
        <v/>
      </c>
    </row>
    <row r="142" customFormat="false" ht="15" hidden="false" customHeight="false" outlineLevel="0" collapsed="false">
      <c r="A142" s="9"/>
      <c r="B142" s="9"/>
      <c r="C142" s="26"/>
      <c r="D142" s="9"/>
      <c r="E142" s="9"/>
      <c r="F142" s="9"/>
      <c r="G142" s="27"/>
      <c r="H142" s="28"/>
      <c r="I142" s="28"/>
      <c r="J142" s="29" t="str">
        <f aca="false">IF(OR(H142="",I142="",I142=0),"",H142/I142)</f>
        <v/>
      </c>
      <c r="K142" s="30"/>
      <c r="L142" s="28"/>
      <c r="M142" s="28"/>
      <c r="N142" s="29" t="str">
        <f aca="false">IF(OR(L142="",M142="",M142=0),"",L142/M142)</f>
        <v/>
      </c>
      <c r="O142" s="30"/>
      <c r="P142" s="28"/>
      <c r="Q142" s="28"/>
      <c r="R142" s="29" t="str">
        <f aca="false">IF(OR(P142="",Q142="",Q142=0),"",P142/Q142)</f>
        <v/>
      </c>
      <c r="S142" s="30"/>
      <c r="T142" s="31" t="str">
        <f aca="false">IF(OR(AA142="",H142="",H142=0),"",AA142/H142-1)</f>
        <v/>
      </c>
      <c r="U142" s="31" t="str">
        <f aca="false">IF(OR(AB142="",I142="",I142=0),"",AB142/I142-1)</f>
        <v/>
      </c>
      <c r="V142" s="32" t="str">
        <f aca="false">IF(OR(J142="",IF(R142&lt;&gt;"",R142,N142)=""),"",(IF(R142&lt;&gt;"",R142,N142)-J142)*100)</f>
        <v/>
      </c>
      <c r="W142" s="33" t="str">
        <f aca="false">IF(OR(K142="",IF(S142&lt;&gt;"",S142,O142)=""),"",K142-IF(S142&lt;&gt;"",S142,O142))</f>
        <v/>
      </c>
      <c r="X142" s="34" t="str">
        <f aca="false">IF(F142="","",IF(E142="Redirected (301)",IF(AA142="","Pending","Redirected – see target"),IF(OR(AA142="",H142=""),"Pending",IF(H142=0,IF(AA142&gt;0,"Win","Neutral"),IF(AA142&gt;=H142*(1+'How to use'!$C$15),"Win",IF(AA142&lt;=H142*(1+'How to use'!$C$16),"Loss","Neutral"))))))</f>
        <v/>
      </c>
      <c r="Y142" s="35" t="str">
        <f aca="false">IF(OR(F142="",C142=""),"",IF(P142&lt;&gt;"","Done",IF(L142&lt;&gt;"",C142+'How to use'!$C$19+'How to use'!$C$17,C142+'How to use'!$C$18+'How to use'!$C$17)))</f>
        <v/>
      </c>
      <c r="Z142" s="9"/>
      <c r="AA142" s="36" t="str">
        <f aca="false">IF(P142&lt;&gt;"",P142,IF(L142&lt;&gt;"",L142,""))</f>
        <v/>
      </c>
      <c r="AB142" s="36" t="str">
        <f aca="false">IF(Q142&lt;&gt;"",Q142,IF(M142&lt;&gt;"",M142,""))</f>
        <v/>
      </c>
    </row>
    <row r="143" customFormat="false" ht="15" hidden="false" customHeight="false" outlineLevel="0" collapsed="false">
      <c r="A143" s="9"/>
      <c r="B143" s="9"/>
      <c r="C143" s="26"/>
      <c r="D143" s="9"/>
      <c r="E143" s="9"/>
      <c r="F143" s="9"/>
      <c r="G143" s="27"/>
      <c r="H143" s="28"/>
      <c r="I143" s="28"/>
      <c r="J143" s="29" t="str">
        <f aca="false">IF(OR(H143="",I143="",I143=0),"",H143/I143)</f>
        <v/>
      </c>
      <c r="K143" s="30"/>
      <c r="L143" s="28"/>
      <c r="M143" s="28"/>
      <c r="N143" s="29" t="str">
        <f aca="false">IF(OR(L143="",M143="",M143=0),"",L143/M143)</f>
        <v/>
      </c>
      <c r="O143" s="30"/>
      <c r="P143" s="28"/>
      <c r="Q143" s="28"/>
      <c r="R143" s="29" t="str">
        <f aca="false">IF(OR(P143="",Q143="",Q143=0),"",P143/Q143)</f>
        <v/>
      </c>
      <c r="S143" s="30"/>
      <c r="T143" s="31" t="str">
        <f aca="false">IF(OR(AA143="",H143="",H143=0),"",AA143/H143-1)</f>
        <v/>
      </c>
      <c r="U143" s="31" t="str">
        <f aca="false">IF(OR(AB143="",I143="",I143=0),"",AB143/I143-1)</f>
        <v/>
      </c>
      <c r="V143" s="32" t="str">
        <f aca="false">IF(OR(J143="",IF(R143&lt;&gt;"",R143,N143)=""),"",(IF(R143&lt;&gt;"",R143,N143)-J143)*100)</f>
        <v/>
      </c>
      <c r="W143" s="33" t="str">
        <f aca="false">IF(OR(K143="",IF(S143&lt;&gt;"",S143,O143)=""),"",K143-IF(S143&lt;&gt;"",S143,O143))</f>
        <v/>
      </c>
      <c r="X143" s="34" t="str">
        <f aca="false">IF(F143="","",IF(E143="Redirected (301)",IF(AA143="","Pending","Redirected – see target"),IF(OR(AA143="",H143=""),"Pending",IF(H143=0,IF(AA143&gt;0,"Win","Neutral"),IF(AA143&gt;=H143*(1+'How to use'!$C$15),"Win",IF(AA143&lt;=H143*(1+'How to use'!$C$16),"Loss","Neutral"))))))</f>
        <v/>
      </c>
      <c r="Y143" s="35" t="str">
        <f aca="false">IF(OR(F143="",C143=""),"",IF(P143&lt;&gt;"","Done",IF(L143&lt;&gt;"",C143+'How to use'!$C$19+'How to use'!$C$17,C143+'How to use'!$C$18+'How to use'!$C$17)))</f>
        <v/>
      </c>
      <c r="Z143" s="9"/>
      <c r="AA143" s="36" t="str">
        <f aca="false">IF(P143&lt;&gt;"",P143,IF(L143&lt;&gt;"",L143,""))</f>
        <v/>
      </c>
      <c r="AB143" s="36" t="str">
        <f aca="false">IF(Q143&lt;&gt;"",Q143,IF(M143&lt;&gt;"",M143,""))</f>
        <v/>
      </c>
    </row>
    <row r="144" customFormat="false" ht="15" hidden="false" customHeight="false" outlineLevel="0" collapsed="false">
      <c r="A144" s="9"/>
      <c r="B144" s="9"/>
      <c r="C144" s="26"/>
      <c r="D144" s="9"/>
      <c r="E144" s="9"/>
      <c r="F144" s="9"/>
      <c r="G144" s="27"/>
      <c r="H144" s="28"/>
      <c r="I144" s="28"/>
      <c r="J144" s="29" t="str">
        <f aca="false">IF(OR(H144="",I144="",I144=0),"",H144/I144)</f>
        <v/>
      </c>
      <c r="K144" s="30"/>
      <c r="L144" s="28"/>
      <c r="M144" s="28"/>
      <c r="N144" s="29" t="str">
        <f aca="false">IF(OR(L144="",M144="",M144=0),"",L144/M144)</f>
        <v/>
      </c>
      <c r="O144" s="30"/>
      <c r="P144" s="28"/>
      <c r="Q144" s="28"/>
      <c r="R144" s="29" t="str">
        <f aca="false">IF(OR(P144="",Q144="",Q144=0),"",P144/Q144)</f>
        <v/>
      </c>
      <c r="S144" s="30"/>
      <c r="T144" s="31" t="str">
        <f aca="false">IF(OR(AA144="",H144="",H144=0),"",AA144/H144-1)</f>
        <v/>
      </c>
      <c r="U144" s="31" t="str">
        <f aca="false">IF(OR(AB144="",I144="",I144=0),"",AB144/I144-1)</f>
        <v/>
      </c>
      <c r="V144" s="32" t="str">
        <f aca="false">IF(OR(J144="",IF(R144&lt;&gt;"",R144,N144)=""),"",(IF(R144&lt;&gt;"",R144,N144)-J144)*100)</f>
        <v/>
      </c>
      <c r="W144" s="33" t="str">
        <f aca="false">IF(OR(K144="",IF(S144&lt;&gt;"",S144,O144)=""),"",K144-IF(S144&lt;&gt;"",S144,O144))</f>
        <v/>
      </c>
      <c r="X144" s="34" t="str">
        <f aca="false">IF(F144="","",IF(E144="Redirected (301)",IF(AA144="","Pending","Redirected – see target"),IF(OR(AA144="",H144=""),"Pending",IF(H144=0,IF(AA144&gt;0,"Win","Neutral"),IF(AA144&gt;=H144*(1+'How to use'!$C$15),"Win",IF(AA144&lt;=H144*(1+'How to use'!$C$16),"Loss","Neutral"))))))</f>
        <v/>
      </c>
      <c r="Y144" s="35" t="str">
        <f aca="false">IF(OR(F144="",C144=""),"",IF(P144&lt;&gt;"","Done",IF(L144&lt;&gt;"",C144+'How to use'!$C$19+'How to use'!$C$17,C144+'How to use'!$C$18+'How to use'!$C$17)))</f>
        <v/>
      </c>
      <c r="Z144" s="9"/>
      <c r="AA144" s="36" t="str">
        <f aca="false">IF(P144&lt;&gt;"",P144,IF(L144&lt;&gt;"",L144,""))</f>
        <v/>
      </c>
      <c r="AB144" s="36" t="str">
        <f aca="false">IF(Q144&lt;&gt;"",Q144,IF(M144&lt;&gt;"",M144,""))</f>
        <v/>
      </c>
    </row>
    <row r="145" customFormat="false" ht="15" hidden="false" customHeight="false" outlineLevel="0" collapsed="false">
      <c r="A145" s="9"/>
      <c r="B145" s="9"/>
      <c r="C145" s="26"/>
      <c r="D145" s="9"/>
      <c r="E145" s="9"/>
      <c r="F145" s="9"/>
      <c r="G145" s="27"/>
      <c r="H145" s="28"/>
      <c r="I145" s="28"/>
      <c r="J145" s="29" t="str">
        <f aca="false">IF(OR(H145="",I145="",I145=0),"",H145/I145)</f>
        <v/>
      </c>
      <c r="K145" s="30"/>
      <c r="L145" s="28"/>
      <c r="M145" s="28"/>
      <c r="N145" s="29" t="str">
        <f aca="false">IF(OR(L145="",M145="",M145=0),"",L145/M145)</f>
        <v/>
      </c>
      <c r="O145" s="30"/>
      <c r="P145" s="28"/>
      <c r="Q145" s="28"/>
      <c r="R145" s="29" t="str">
        <f aca="false">IF(OR(P145="",Q145="",Q145=0),"",P145/Q145)</f>
        <v/>
      </c>
      <c r="S145" s="30"/>
      <c r="T145" s="31" t="str">
        <f aca="false">IF(OR(AA145="",H145="",H145=0),"",AA145/H145-1)</f>
        <v/>
      </c>
      <c r="U145" s="31" t="str">
        <f aca="false">IF(OR(AB145="",I145="",I145=0),"",AB145/I145-1)</f>
        <v/>
      </c>
      <c r="V145" s="32" t="str">
        <f aca="false">IF(OR(J145="",IF(R145&lt;&gt;"",R145,N145)=""),"",(IF(R145&lt;&gt;"",R145,N145)-J145)*100)</f>
        <v/>
      </c>
      <c r="W145" s="33" t="str">
        <f aca="false">IF(OR(K145="",IF(S145&lt;&gt;"",S145,O145)=""),"",K145-IF(S145&lt;&gt;"",S145,O145))</f>
        <v/>
      </c>
      <c r="X145" s="34" t="str">
        <f aca="false">IF(F145="","",IF(E145="Redirected (301)",IF(AA145="","Pending","Redirected – see target"),IF(OR(AA145="",H145=""),"Pending",IF(H145=0,IF(AA145&gt;0,"Win","Neutral"),IF(AA145&gt;=H145*(1+'How to use'!$C$15),"Win",IF(AA145&lt;=H145*(1+'How to use'!$C$16),"Loss","Neutral"))))))</f>
        <v/>
      </c>
      <c r="Y145" s="35" t="str">
        <f aca="false">IF(OR(F145="",C145=""),"",IF(P145&lt;&gt;"","Done",IF(L145&lt;&gt;"",C145+'How to use'!$C$19+'How to use'!$C$17,C145+'How to use'!$C$18+'How to use'!$C$17)))</f>
        <v/>
      </c>
      <c r="Z145" s="9"/>
      <c r="AA145" s="36" t="str">
        <f aca="false">IF(P145&lt;&gt;"",P145,IF(L145&lt;&gt;"",L145,""))</f>
        <v/>
      </c>
      <c r="AB145" s="36" t="str">
        <f aca="false">IF(Q145&lt;&gt;"",Q145,IF(M145&lt;&gt;"",M145,""))</f>
        <v/>
      </c>
    </row>
    <row r="146" customFormat="false" ht="15" hidden="false" customHeight="false" outlineLevel="0" collapsed="false">
      <c r="A146" s="9"/>
      <c r="B146" s="9"/>
      <c r="C146" s="26"/>
      <c r="D146" s="9"/>
      <c r="E146" s="9"/>
      <c r="F146" s="9"/>
      <c r="G146" s="27"/>
      <c r="H146" s="28"/>
      <c r="I146" s="28"/>
      <c r="J146" s="29" t="str">
        <f aca="false">IF(OR(H146="",I146="",I146=0),"",H146/I146)</f>
        <v/>
      </c>
      <c r="K146" s="30"/>
      <c r="L146" s="28"/>
      <c r="M146" s="28"/>
      <c r="N146" s="29" t="str">
        <f aca="false">IF(OR(L146="",M146="",M146=0),"",L146/M146)</f>
        <v/>
      </c>
      <c r="O146" s="30"/>
      <c r="P146" s="28"/>
      <c r="Q146" s="28"/>
      <c r="R146" s="29" t="str">
        <f aca="false">IF(OR(P146="",Q146="",Q146=0),"",P146/Q146)</f>
        <v/>
      </c>
      <c r="S146" s="30"/>
      <c r="T146" s="31" t="str">
        <f aca="false">IF(OR(AA146="",H146="",H146=0),"",AA146/H146-1)</f>
        <v/>
      </c>
      <c r="U146" s="31" t="str">
        <f aca="false">IF(OR(AB146="",I146="",I146=0),"",AB146/I146-1)</f>
        <v/>
      </c>
      <c r="V146" s="32" t="str">
        <f aca="false">IF(OR(J146="",IF(R146&lt;&gt;"",R146,N146)=""),"",(IF(R146&lt;&gt;"",R146,N146)-J146)*100)</f>
        <v/>
      </c>
      <c r="W146" s="33" t="str">
        <f aca="false">IF(OR(K146="",IF(S146&lt;&gt;"",S146,O146)=""),"",K146-IF(S146&lt;&gt;"",S146,O146))</f>
        <v/>
      </c>
      <c r="X146" s="34" t="str">
        <f aca="false">IF(F146="","",IF(E146="Redirected (301)",IF(AA146="","Pending","Redirected – see target"),IF(OR(AA146="",H146=""),"Pending",IF(H146=0,IF(AA146&gt;0,"Win","Neutral"),IF(AA146&gt;=H146*(1+'How to use'!$C$15),"Win",IF(AA146&lt;=H146*(1+'How to use'!$C$16),"Loss","Neutral"))))))</f>
        <v/>
      </c>
      <c r="Y146" s="35" t="str">
        <f aca="false">IF(OR(F146="",C146=""),"",IF(P146&lt;&gt;"","Done",IF(L146&lt;&gt;"",C146+'How to use'!$C$19+'How to use'!$C$17,C146+'How to use'!$C$18+'How to use'!$C$17)))</f>
        <v/>
      </c>
      <c r="Z146" s="9"/>
      <c r="AA146" s="36" t="str">
        <f aca="false">IF(P146&lt;&gt;"",P146,IF(L146&lt;&gt;"",L146,""))</f>
        <v/>
      </c>
      <c r="AB146" s="36" t="str">
        <f aca="false">IF(Q146&lt;&gt;"",Q146,IF(M146&lt;&gt;"",M146,""))</f>
        <v/>
      </c>
    </row>
    <row r="147" customFormat="false" ht="15" hidden="false" customHeight="false" outlineLevel="0" collapsed="false">
      <c r="A147" s="9"/>
      <c r="B147" s="9"/>
      <c r="C147" s="26"/>
      <c r="D147" s="9"/>
      <c r="E147" s="9"/>
      <c r="F147" s="9"/>
      <c r="G147" s="27"/>
      <c r="H147" s="28"/>
      <c r="I147" s="28"/>
      <c r="J147" s="29" t="str">
        <f aca="false">IF(OR(H147="",I147="",I147=0),"",H147/I147)</f>
        <v/>
      </c>
      <c r="K147" s="30"/>
      <c r="L147" s="28"/>
      <c r="M147" s="28"/>
      <c r="N147" s="29" t="str">
        <f aca="false">IF(OR(L147="",M147="",M147=0),"",L147/M147)</f>
        <v/>
      </c>
      <c r="O147" s="30"/>
      <c r="P147" s="28"/>
      <c r="Q147" s="28"/>
      <c r="R147" s="29" t="str">
        <f aca="false">IF(OR(P147="",Q147="",Q147=0),"",P147/Q147)</f>
        <v/>
      </c>
      <c r="S147" s="30"/>
      <c r="T147" s="31" t="str">
        <f aca="false">IF(OR(AA147="",H147="",H147=0),"",AA147/H147-1)</f>
        <v/>
      </c>
      <c r="U147" s="31" t="str">
        <f aca="false">IF(OR(AB147="",I147="",I147=0),"",AB147/I147-1)</f>
        <v/>
      </c>
      <c r="V147" s="32" t="str">
        <f aca="false">IF(OR(J147="",IF(R147&lt;&gt;"",R147,N147)=""),"",(IF(R147&lt;&gt;"",R147,N147)-J147)*100)</f>
        <v/>
      </c>
      <c r="W147" s="33" t="str">
        <f aca="false">IF(OR(K147="",IF(S147&lt;&gt;"",S147,O147)=""),"",K147-IF(S147&lt;&gt;"",S147,O147))</f>
        <v/>
      </c>
      <c r="X147" s="34" t="str">
        <f aca="false">IF(F147="","",IF(E147="Redirected (301)",IF(AA147="","Pending","Redirected – see target"),IF(OR(AA147="",H147=""),"Pending",IF(H147=0,IF(AA147&gt;0,"Win","Neutral"),IF(AA147&gt;=H147*(1+'How to use'!$C$15),"Win",IF(AA147&lt;=H147*(1+'How to use'!$C$16),"Loss","Neutral"))))))</f>
        <v/>
      </c>
      <c r="Y147" s="35" t="str">
        <f aca="false">IF(OR(F147="",C147=""),"",IF(P147&lt;&gt;"","Done",IF(L147&lt;&gt;"",C147+'How to use'!$C$19+'How to use'!$C$17,C147+'How to use'!$C$18+'How to use'!$C$17)))</f>
        <v/>
      </c>
      <c r="Z147" s="9"/>
      <c r="AA147" s="36" t="str">
        <f aca="false">IF(P147&lt;&gt;"",P147,IF(L147&lt;&gt;"",L147,""))</f>
        <v/>
      </c>
      <c r="AB147" s="36" t="str">
        <f aca="false">IF(Q147&lt;&gt;"",Q147,IF(M147&lt;&gt;"",M147,""))</f>
        <v/>
      </c>
    </row>
    <row r="148" customFormat="false" ht="15" hidden="false" customHeight="false" outlineLevel="0" collapsed="false">
      <c r="A148" s="9"/>
      <c r="B148" s="9"/>
      <c r="C148" s="26"/>
      <c r="D148" s="9"/>
      <c r="E148" s="9"/>
      <c r="F148" s="9"/>
      <c r="G148" s="27"/>
      <c r="H148" s="28"/>
      <c r="I148" s="28"/>
      <c r="J148" s="29" t="str">
        <f aca="false">IF(OR(H148="",I148="",I148=0),"",H148/I148)</f>
        <v/>
      </c>
      <c r="K148" s="30"/>
      <c r="L148" s="28"/>
      <c r="M148" s="28"/>
      <c r="N148" s="29" t="str">
        <f aca="false">IF(OR(L148="",M148="",M148=0),"",L148/M148)</f>
        <v/>
      </c>
      <c r="O148" s="30"/>
      <c r="P148" s="28"/>
      <c r="Q148" s="28"/>
      <c r="R148" s="29" t="str">
        <f aca="false">IF(OR(P148="",Q148="",Q148=0),"",P148/Q148)</f>
        <v/>
      </c>
      <c r="S148" s="30"/>
      <c r="T148" s="31" t="str">
        <f aca="false">IF(OR(AA148="",H148="",H148=0),"",AA148/H148-1)</f>
        <v/>
      </c>
      <c r="U148" s="31" t="str">
        <f aca="false">IF(OR(AB148="",I148="",I148=0),"",AB148/I148-1)</f>
        <v/>
      </c>
      <c r="V148" s="32" t="str">
        <f aca="false">IF(OR(J148="",IF(R148&lt;&gt;"",R148,N148)=""),"",(IF(R148&lt;&gt;"",R148,N148)-J148)*100)</f>
        <v/>
      </c>
      <c r="W148" s="33" t="str">
        <f aca="false">IF(OR(K148="",IF(S148&lt;&gt;"",S148,O148)=""),"",K148-IF(S148&lt;&gt;"",S148,O148))</f>
        <v/>
      </c>
      <c r="X148" s="34" t="str">
        <f aca="false">IF(F148="","",IF(E148="Redirected (301)",IF(AA148="","Pending","Redirected – see target"),IF(OR(AA148="",H148=""),"Pending",IF(H148=0,IF(AA148&gt;0,"Win","Neutral"),IF(AA148&gt;=H148*(1+'How to use'!$C$15),"Win",IF(AA148&lt;=H148*(1+'How to use'!$C$16),"Loss","Neutral"))))))</f>
        <v/>
      </c>
      <c r="Y148" s="35" t="str">
        <f aca="false">IF(OR(F148="",C148=""),"",IF(P148&lt;&gt;"","Done",IF(L148&lt;&gt;"",C148+'How to use'!$C$19+'How to use'!$C$17,C148+'How to use'!$C$18+'How to use'!$C$17)))</f>
        <v/>
      </c>
      <c r="Z148" s="9"/>
      <c r="AA148" s="36" t="str">
        <f aca="false">IF(P148&lt;&gt;"",P148,IF(L148&lt;&gt;"",L148,""))</f>
        <v/>
      </c>
      <c r="AB148" s="36" t="str">
        <f aca="false">IF(Q148&lt;&gt;"",Q148,IF(M148&lt;&gt;"",M148,""))</f>
        <v/>
      </c>
    </row>
    <row r="149" customFormat="false" ht="15" hidden="false" customHeight="false" outlineLevel="0" collapsed="false">
      <c r="A149" s="9"/>
      <c r="B149" s="9"/>
      <c r="C149" s="26"/>
      <c r="D149" s="9"/>
      <c r="E149" s="9"/>
      <c r="F149" s="9"/>
      <c r="G149" s="27"/>
      <c r="H149" s="28"/>
      <c r="I149" s="28"/>
      <c r="J149" s="29" t="str">
        <f aca="false">IF(OR(H149="",I149="",I149=0),"",H149/I149)</f>
        <v/>
      </c>
      <c r="K149" s="30"/>
      <c r="L149" s="28"/>
      <c r="M149" s="28"/>
      <c r="N149" s="29" t="str">
        <f aca="false">IF(OR(L149="",M149="",M149=0),"",L149/M149)</f>
        <v/>
      </c>
      <c r="O149" s="30"/>
      <c r="P149" s="28"/>
      <c r="Q149" s="28"/>
      <c r="R149" s="29" t="str">
        <f aca="false">IF(OR(P149="",Q149="",Q149=0),"",P149/Q149)</f>
        <v/>
      </c>
      <c r="S149" s="30"/>
      <c r="T149" s="31" t="str">
        <f aca="false">IF(OR(AA149="",H149="",H149=0),"",AA149/H149-1)</f>
        <v/>
      </c>
      <c r="U149" s="31" t="str">
        <f aca="false">IF(OR(AB149="",I149="",I149=0),"",AB149/I149-1)</f>
        <v/>
      </c>
      <c r="V149" s="32" t="str">
        <f aca="false">IF(OR(J149="",IF(R149&lt;&gt;"",R149,N149)=""),"",(IF(R149&lt;&gt;"",R149,N149)-J149)*100)</f>
        <v/>
      </c>
      <c r="W149" s="33" t="str">
        <f aca="false">IF(OR(K149="",IF(S149&lt;&gt;"",S149,O149)=""),"",K149-IF(S149&lt;&gt;"",S149,O149))</f>
        <v/>
      </c>
      <c r="X149" s="34" t="str">
        <f aca="false">IF(F149="","",IF(E149="Redirected (301)",IF(AA149="","Pending","Redirected – see target"),IF(OR(AA149="",H149=""),"Pending",IF(H149=0,IF(AA149&gt;0,"Win","Neutral"),IF(AA149&gt;=H149*(1+'How to use'!$C$15),"Win",IF(AA149&lt;=H149*(1+'How to use'!$C$16),"Loss","Neutral"))))))</f>
        <v/>
      </c>
      <c r="Y149" s="35" t="str">
        <f aca="false">IF(OR(F149="",C149=""),"",IF(P149&lt;&gt;"","Done",IF(L149&lt;&gt;"",C149+'How to use'!$C$19+'How to use'!$C$17,C149+'How to use'!$C$18+'How to use'!$C$17)))</f>
        <v/>
      </c>
      <c r="Z149" s="9"/>
      <c r="AA149" s="36" t="str">
        <f aca="false">IF(P149&lt;&gt;"",P149,IF(L149&lt;&gt;"",L149,""))</f>
        <v/>
      </c>
      <c r="AB149" s="36" t="str">
        <f aca="false">IF(Q149&lt;&gt;"",Q149,IF(M149&lt;&gt;"",M149,""))</f>
        <v/>
      </c>
    </row>
    <row r="150" customFormat="false" ht="15" hidden="false" customHeight="false" outlineLevel="0" collapsed="false">
      <c r="A150" s="9"/>
      <c r="B150" s="9"/>
      <c r="C150" s="26"/>
      <c r="D150" s="9"/>
      <c r="E150" s="9"/>
      <c r="F150" s="9"/>
      <c r="G150" s="27"/>
      <c r="H150" s="28"/>
      <c r="I150" s="28"/>
      <c r="J150" s="29" t="str">
        <f aca="false">IF(OR(H150="",I150="",I150=0),"",H150/I150)</f>
        <v/>
      </c>
      <c r="K150" s="30"/>
      <c r="L150" s="28"/>
      <c r="M150" s="28"/>
      <c r="N150" s="29" t="str">
        <f aca="false">IF(OR(L150="",M150="",M150=0),"",L150/M150)</f>
        <v/>
      </c>
      <c r="O150" s="30"/>
      <c r="P150" s="28"/>
      <c r="Q150" s="28"/>
      <c r="R150" s="29" t="str">
        <f aca="false">IF(OR(P150="",Q150="",Q150=0),"",P150/Q150)</f>
        <v/>
      </c>
      <c r="S150" s="30"/>
      <c r="T150" s="31" t="str">
        <f aca="false">IF(OR(AA150="",H150="",H150=0),"",AA150/H150-1)</f>
        <v/>
      </c>
      <c r="U150" s="31" t="str">
        <f aca="false">IF(OR(AB150="",I150="",I150=0),"",AB150/I150-1)</f>
        <v/>
      </c>
      <c r="V150" s="32" t="str">
        <f aca="false">IF(OR(J150="",IF(R150&lt;&gt;"",R150,N150)=""),"",(IF(R150&lt;&gt;"",R150,N150)-J150)*100)</f>
        <v/>
      </c>
      <c r="W150" s="33" t="str">
        <f aca="false">IF(OR(K150="",IF(S150&lt;&gt;"",S150,O150)=""),"",K150-IF(S150&lt;&gt;"",S150,O150))</f>
        <v/>
      </c>
      <c r="X150" s="34" t="str">
        <f aca="false">IF(F150="","",IF(E150="Redirected (301)",IF(AA150="","Pending","Redirected – see target"),IF(OR(AA150="",H150=""),"Pending",IF(H150=0,IF(AA150&gt;0,"Win","Neutral"),IF(AA150&gt;=H150*(1+'How to use'!$C$15),"Win",IF(AA150&lt;=H150*(1+'How to use'!$C$16),"Loss","Neutral"))))))</f>
        <v/>
      </c>
      <c r="Y150" s="35" t="str">
        <f aca="false">IF(OR(F150="",C150=""),"",IF(P150&lt;&gt;"","Done",IF(L150&lt;&gt;"",C150+'How to use'!$C$19+'How to use'!$C$17,C150+'How to use'!$C$18+'How to use'!$C$17)))</f>
        <v/>
      </c>
      <c r="Z150" s="9"/>
      <c r="AA150" s="36" t="str">
        <f aca="false">IF(P150&lt;&gt;"",P150,IF(L150&lt;&gt;"",L150,""))</f>
        <v/>
      </c>
      <c r="AB150" s="36" t="str">
        <f aca="false">IF(Q150&lt;&gt;"",Q150,IF(M150&lt;&gt;"",M150,""))</f>
        <v/>
      </c>
    </row>
    <row r="151" customFormat="false" ht="15" hidden="false" customHeight="false" outlineLevel="0" collapsed="false">
      <c r="A151" s="9"/>
      <c r="B151" s="9"/>
      <c r="C151" s="26"/>
      <c r="D151" s="9"/>
      <c r="E151" s="9"/>
      <c r="F151" s="9"/>
      <c r="G151" s="27"/>
      <c r="H151" s="28"/>
      <c r="I151" s="28"/>
      <c r="J151" s="29" t="str">
        <f aca="false">IF(OR(H151="",I151="",I151=0),"",H151/I151)</f>
        <v/>
      </c>
      <c r="K151" s="30"/>
      <c r="L151" s="28"/>
      <c r="M151" s="28"/>
      <c r="N151" s="29" t="str">
        <f aca="false">IF(OR(L151="",M151="",M151=0),"",L151/M151)</f>
        <v/>
      </c>
      <c r="O151" s="30"/>
      <c r="P151" s="28"/>
      <c r="Q151" s="28"/>
      <c r="R151" s="29" t="str">
        <f aca="false">IF(OR(P151="",Q151="",Q151=0),"",P151/Q151)</f>
        <v/>
      </c>
      <c r="S151" s="30"/>
      <c r="T151" s="31" t="str">
        <f aca="false">IF(OR(AA151="",H151="",H151=0),"",AA151/H151-1)</f>
        <v/>
      </c>
      <c r="U151" s="31" t="str">
        <f aca="false">IF(OR(AB151="",I151="",I151=0),"",AB151/I151-1)</f>
        <v/>
      </c>
      <c r="V151" s="32" t="str">
        <f aca="false">IF(OR(J151="",IF(R151&lt;&gt;"",R151,N151)=""),"",(IF(R151&lt;&gt;"",R151,N151)-J151)*100)</f>
        <v/>
      </c>
      <c r="W151" s="33" t="str">
        <f aca="false">IF(OR(K151="",IF(S151&lt;&gt;"",S151,O151)=""),"",K151-IF(S151&lt;&gt;"",S151,O151))</f>
        <v/>
      </c>
      <c r="X151" s="34" t="str">
        <f aca="false">IF(F151="","",IF(E151="Redirected (301)",IF(AA151="","Pending","Redirected – see target"),IF(OR(AA151="",H151=""),"Pending",IF(H151=0,IF(AA151&gt;0,"Win","Neutral"),IF(AA151&gt;=H151*(1+'How to use'!$C$15),"Win",IF(AA151&lt;=H151*(1+'How to use'!$C$16),"Loss","Neutral"))))))</f>
        <v/>
      </c>
      <c r="Y151" s="35" t="str">
        <f aca="false">IF(OR(F151="",C151=""),"",IF(P151&lt;&gt;"","Done",IF(L151&lt;&gt;"",C151+'How to use'!$C$19+'How to use'!$C$17,C151+'How to use'!$C$18+'How to use'!$C$17)))</f>
        <v/>
      </c>
      <c r="Z151" s="9"/>
      <c r="AA151" s="36" t="str">
        <f aca="false">IF(P151&lt;&gt;"",P151,IF(L151&lt;&gt;"",L151,""))</f>
        <v/>
      </c>
      <c r="AB151" s="36" t="str">
        <f aca="false">IF(Q151&lt;&gt;"",Q151,IF(M151&lt;&gt;"",M151,""))</f>
        <v/>
      </c>
    </row>
    <row r="152" customFormat="false" ht="15" hidden="false" customHeight="false" outlineLevel="0" collapsed="false">
      <c r="A152" s="9"/>
      <c r="B152" s="9"/>
      <c r="C152" s="26"/>
      <c r="D152" s="9"/>
      <c r="E152" s="9"/>
      <c r="F152" s="9"/>
      <c r="G152" s="27"/>
      <c r="H152" s="28"/>
      <c r="I152" s="28"/>
      <c r="J152" s="29" t="str">
        <f aca="false">IF(OR(H152="",I152="",I152=0),"",H152/I152)</f>
        <v/>
      </c>
      <c r="K152" s="30"/>
      <c r="L152" s="28"/>
      <c r="M152" s="28"/>
      <c r="N152" s="29" t="str">
        <f aca="false">IF(OR(L152="",M152="",M152=0),"",L152/M152)</f>
        <v/>
      </c>
      <c r="O152" s="30"/>
      <c r="P152" s="28"/>
      <c r="Q152" s="28"/>
      <c r="R152" s="29" t="str">
        <f aca="false">IF(OR(P152="",Q152="",Q152=0),"",P152/Q152)</f>
        <v/>
      </c>
      <c r="S152" s="30"/>
      <c r="T152" s="31" t="str">
        <f aca="false">IF(OR(AA152="",H152="",H152=0),"",AA152/H152-1)</f>
        <v/>
      </c>
      <c r="U152" s="31" t="str">
        <f aca="false">IF(OR(AB152="",I152="",I152=0),"",AB152/I152-1)</f>
        <v/>
      </c>
      <c r="V152" s="32" t="str">
        <f aca="false">IF(OR(J152="",IF(R152&lt;&gt;"",R152,N152)=""),"",(IF(R152&lt;&gt;"",R152,N152)-J152)*100)</f>
        <v/>
      </c>
      <c r="W152" s="33" t="str">
        <f aca="false">IF(OR(K152="",IF(S152&lt;&gt;"",S152,O152)=""),"",K152-IF(S152&lt;&gt;"",S152,O152))</f>
        <v/>
      </c>
      <c r="X152" s="34" t="str">
        <f aca="false">IF(F152="","",IF(E152="Redirected (301)",IF(AA152="","Pending","Redirected – see target"),IF(OR(AA152="",H152=""),"Pending",IF(H152=0,IF(AA152&gt;0,"Win","Neutral"),IF(AA152&gt;=H152*(1+'How to use'!$C$15),"Win",IF(AA152&lt;=H152*(1+'How to use'!$C$16),"Loss","Neutral"))))))</f>
        <v/>
      </c>
      <c r="Y152" s="35" t="str">
        <f aca="false">IF(OR(F152="",C152=""),"",IF(P152&lt;&gt;"","Done",IF(L152&lt;&gt;"",C152+'How to use'!$C$19+'How to use'!$C$17,C152+'How to use'!$C$18+'How to use'!$C$17)))</f>
        <v/>
      </c>
      <c r="Z152" s="9"/>
      <c r="AA152" s="36" t="str">
        <f aca="false">IF(P152&lt;&gt;"",P152,IF(L152&lt;&gt;"",L152,""))</f>
        <v/>
      </c>
      <c r="AB152" s="36" t="str">
        <f aca="false">IF(Q152&lt;&gt;"",Q152,IF(M152&lt;&gt;"",M152,""))</f>
        <v/>
      </c>
    </row>
    <row r="153" customFormat="false" ht="15" hidden="false" customHeight="false" outlineLevel="0" collapsed="false">
      <c r="A153" s="9"/>
      <c r="B153" s="9"/>
      <c r="C153" s="26"/>
      <c r="D153" s="9"/>
      <c r="E153" s="9"/>
      <c r="F153" s="9"/>
      <c r="G153" s="27"/>
      <c r="H153" s="28"/>
      <c r="I153" s="28"/>
      <c r="J153" s="29" t="str">
        <f aca="false">IF(OR(H153="",I153="",I153=0),"",H153/I153)</f>
        <v/>
      </c>
      <c r="K153" s="30"/>
      <c r="L153" s="28"/>
      <c r="M153" s="28"/>
      <c r="N153" s="29" t="str">
        <f aca="false">IF(OR(L153="",M153="",M153=0),"",L153/M153)</f>
        <v/>
      </c>
      <c r="O153" s="30"/>
      <c r="P153" s="28"/>
      <c r="Q153" s="28"/>
      <c r="R153" s="29" t="str">
        <f aca="false">IF(OR(P153="",Q153="",Q153=0),"",P153/Q153)</f>
        <v/>
      </c>
      <c r="S153" s="30"/>
      <c r="T153" s="31" t="str">
        <f aca="false">IF(OR(AA153="",H153="",H153=0),"",AA153/H153-1)</f>
        <v/>
      </c>
      <c r="U153" s="31" t="str">
        <f aca="false">IF(OR(AB153="",I153="",I153=0),"",AB153/I153-1)</f>
        <v/>
      </c>
      <c r="V153" s="32" t="str">
        <f aca="false">IF(OR(J153="",IF(R153&lt;&gt;"",R153,N153)=""),"",(IF(R153&lt;&gt;"",R153,N153)-J153)*100)</f>
        <v/>
      </c>
      <c r="W153" s="33" t="str">
        <f aca="false">IF(OR(K153="",IF(S153&lt;&gt;"",S153,O153)=""),"",K153-IF(S153&lt;&gt;"",S153,O153))</f>
        <v/>
      </c>
      <c r="X153" s="34" t="str">
        <f aca="false">IF(F153="","",IF(E153="Redirected (301)",IF(AA153="","Pending","Redirected – see target"),IF(OR(AA153="",H153=""),"Pending",IF(H153=0,IF(AA153&gt;0,"Win","Neutral"),IF(AA153&gt;=H153*(1+'How to use'!$C$15),"Win",IF(AA153&lt;=H153*(1+'How to use'!$C$16),"Loss","Neutral"))))))</f>
        <v/>
      </c>
      <c r="Y153" s="35" t="str">
        <f aca="false">IF(OR(F153="",C153=""),"",IF(P153&lt;&gt;"","Done",IF(L153&lt;&gt;"",C153+'How to use'!$C$19+'How to use'!$C$17,C153+'How to use'!$C$18+'How to use'!$C$17)))</f>
        <v/>
      </c>
      <c r="Z153" s="9"/>
      <c r="AA153" s="36" t="str">
        <f aca="false">IF(P153&lt;&gt;"",P153,IF(L153&lt;&gt;"",L153,""))</f>
        <v/>
      </c>
      <c r="AB153" s="36" t="str">
        <f aca="false">IF(Q153&lt;&gt;"",Q153,IF(M153&lt;&gt;"",M153,""))</f>
        <v/>
      </c>
    </row>
    <row r="154" customFormat="false" ht="15" hidden="false" customHeight="false" outlineLevel="0" collapsed="false">
      <c r="A154" s="9"/>
      <c r="B154" s="9"/>
      <c r="C154" s="26"/>
      <c r="D154" s="9"/>
      <c r="E154" s="9"/>
      <c r="F154" s="9"/>
      <c r="G154" s="27"/>
      <c r="H154" s="28"/>
      <c r="I154" s="28"/>
      <c r="J154" s="29" t="str">
        <f aca="false">IF(OR(H154="",I154="",I154=0),"",H154/I154)</f>
        <v/>
      </c>
      <c r="K154" s="30"/>
      <c r="L154" s="28"/>
      <c r="M154" s="28"/>
      <c r="N154" s="29" t="str">
        <f aca="false">IF(OR(L154="",M154="",M154=0),"",L154/M154)</f>
        <v/>
      </c>
      <c r="O154" s="30"/>
      <c r="P154" s="28"/>
      <c r="Q154" s="28"/>
      <c r="R154" s="29" t="str">
        <f aca="false">IF(OR(P154="",Q154="",Q154=0),"",P154/Q154)</f>
        <v/>
      </c>
      <c r="S154" s="30"/>
      <c r="T154" s="31" t="str">
        <f aca="false">IF(OR(AA154="",H154="",H154=0),"",AA154/H154-1)</f>
        <v/>
      </c>
      <c r="U154" s="31" t="str">
        <f aca="false">IF(OR(AB154="",I154="",I154=0),"",AB154/I154-1)</f>
        <v/>
      </c>
      <c r="V154" s="32" t="str">
        <f aca="false">IF(OR(J154="",IF(R154&lt;&gt;"",R154,N154)=""),"",(IF(R154&lt;&gt;"",R154,N154)-J154)*100)</f>
        <v/>
      </c>
      <c r="W154" s="33" t="str">
        <f aca="false">IF(OR(K154="",IF(S154&lt;&gt;"",S154,O154)=""),"",K154-IF(S154&lt;&gt;"",S154,O154))</f>
        <v/>
      </c>
      <c r="X154" s="34" t="str">
        <f aca="false">IF(F154="","",IF(E154="Redirected (301)",IF(AA154="","Pending","Redirected – see target"),IF(OR(AA154="",H154=""),"Pending",IF(H154=0,IF(AA154&gt;0,"Win","Neutral"),IF(AA154&gt;=H154*(1+'How to use'!$C$15),"Win",IF(AA154&lt;=H154*(1+'How to use'!$C$16),"Loss","Neutral"))))))</f>
        <v/>
      </c>
      <c r="Y154" s="35" t="str">
        <f aca="false">IF(OR(F154="",C154=""),"",IF(P154&lt;&gt;"","Done",IF(L154&lt;&gt;"",C154+'How to use'!$C$19+'How to use'!$C$17,C154+'How to use'!$C$18+'How to use'!$C$17)))</f>
        <v/>
      </c>
      <c r="Z154" s="9"/>
      <c r="AA154" s="36" t="str">
        <f aca="false">IF(P154&lt;&gt;"",P154,IF(L154&lt;&gt;"",L154,""))</f>
        <v/>
      </c>
      <c r="AB154" s="36" t="str">
        <f aca="false">IF(Q154&lt;&gt;"",Q154,IF(M154&lt;&gt;"",M154,""))</f>
        <v/>
      </c>
    </row>
    <row r="155" customFormat="false" ht="15" hidden="false" customHeight="false" outlineLevel="0" collapsed="false">
      <c r="A155" s="9"/>
      <c r="B155" s="9"/>
      <c r="C155" s="26"/>
      <c r="D155" s="9"/>
      <c r="E155" s="9"/>
      <c r="F155" s="9"/>
      <c r="G155" s="27"/>
      <c r="H155" s="28"/>
      <c r="I155" s="28"/>
      <c r="J155" s="29" t="str">
        <f aca="false">IF(OR(H155="",I155="",I155=0),"",H155/I155)</f>
        <v/>
      </c>
      <c r="K155" s="30"/>
      <c r="L155" s="28"/>
      <c r="M155" s="28"/>
      <c r="N155" s="29" t="str">
        <f aca="false">IF(OR(L155="",M155="",M155=0),"",L155/M155)</f>
        <v/>
      </c>
      <c r="O155" s="30"/>
      <c r="P155" s="28"/>
      <c r="Q155" s="28"/>
      <c r="R155" s="29" t="str">
        <f aca="false">IF(OR(P155="",Q155="",Q155=0),"",P155/Q155)</f>
        <v/>
      </c>
      <c r="S155" s="30"/>
      <c r="T155" s="31" t="str">
        <f aca="false">IF(OR(AA155="",H155="",H155=0),"",AA155/H155-1)</f>
        <v/>
      </c>
      <c r="U155" s="31" t="str">
        <f aca="false">IF(OR(AB155="",I155="",I155=0),"",AB155/I155-1)</f>
        <v/>
      </c>
      <c r="V155" s="32" t="str">
        <f aca="false">IF(OR(J155="",IF(R155&lt;&gt;"",R155,N155)=""),"",(IF(R155&lt;&gt;"",R155,N155)-J155)*100)</f>
        <v/>
      </c>
      <c r="W155" s="33" t="str">
        <f aca="false">IF(OR(K155="",IF(S155&lt;&gt;"",S155,O155)=""),"",K155-IF(S155&lt;&gt;"",S155,O155))</f>
        <v/>
      </c>
      <c r="X155" s="34" t="str">
        <f aca="false">IF(F155="","",IF(E155="Redirected (301)",IF(AA155="","Pending","Redirected – see target"),IF(OR(AA155="",H155=""),"Pending",IF(H155=0,IF(AA155&gt;0,"Win","Neutral"),IF(AA155&gt;=H155*(1+'How to use'!$C$15),"Win",IF(AA155&lt;=H155*(1+'How to use'!$C$16),"Loss","Neutral"))))))</f>
        <v/>
      </c>
      <c r="Y155" s="35" t="str">
        <f aca="false">IF(OR(F155="",C155=""),"",IF(P155&lt;&gt;"","Done",IF(L155&lt;&gt;"",C155+'How to use'!$C$19+'How to use'!$C$17,C155+'How to use'!$C$18+'How to use'!$C$17)))</f>
        <v/>
      </c>
      <c r="Z155" s="9"/>
      <c r="AA155" s="36" t="str">
        <f aca="false">IF(P155&lt;&gt;"",P155,IF(L155&lt;&gt;"",L155,""))</f>
        <v/>
      </c>
      <c r="AB155" s="36" t="str">
        <f aca="false">IF(Q155&lt;&gt;"",Q155,IF(M155&lt;&gt;"",M155,""))</f>
        <v/>
      </c>
    </row>
    <row r="156" customFormat="false" ht="15" hidden="false" customHeight="false" outlineLevel="0" collapsed="false">
      <c r="A156" s="9"/>
      <c r="B156" s="9"/>
      <c r="C156" s="26"/>
      <c r="D156" s="9"/>
      <c r="E156" s="9"/>
      <c r="F156" s="9"/>
      <c r="G156" s="27"/>
      <c r="H156" s="28"/>
      <c r="I156" s="28"/>
      <c r="J156" s="29" t="str">
        <f aca="false">IF(OR(H156="",I156="",I156=0),"",H156/I156)</f>
        <v/>
      </c>
      <c r="K156" s="30"/>
      <c r="L156" s="28"/>
      <c r="M156" s="28"/>
      <c r="N156" s="29" t="str">
        <f aca="false">IF(OR(L156="",M156="",M156=0),"",L156/M156)</f>
        <v/>
      </c>
      <c r="O156" s="30"/>
      <c r="P156" s="28"/>
      <c r="Q156" s="28"/>
      <c r="R156" s="29" t="str">
        <f aca="false">IF(OR(P156="",Q156="",Q156=0),"",P156/Q156)</f>
        <v/>
      </c>
      <c r="S156" s="30"/>
      <c r="T156" s="31" t="str">
        <f aca="false">IF(OR(AA156="",H156="",H156=0),"",AA156/H156-1)</f>
        <v/>
      </c>
      <c r="U156" s="31" t="str">
        <f aca="false">IF(OR(AB156="",I156="",I156=0),"",AB156/I156-1)</f>
        <v/>
      </c>
      <c r="V156" s="32" t="str">
        <f aca="false">IF(OR(J156="",IF(R156&lt;&gt;"",R156,N156)=""),"",(IF(R156&lt;&gt;"",R156,N156)-J156)*100)</f>
        <v/>
      </c>
      <c r="W156" s="33" t="str">
        <f aca="false">IF(OR(K156="",IF(S156&lt;&gt;"",S156,O156)=""),"",K156-IF(S156&lt;&gt;"",S156,O156))</f>
        <v/>
      </c>
      <c r="X156" s="34" t="str">
        <f aca="false">IF(F156="","",IF(E156="Redirected (301)",IF(AA156="","Pending","Redirected – see target"),IF(OR(AA156="",H156=""),"Pending",IF(H156=0,IF(AA156&gt;0,"Win","Neutral"),IF(AA156&gt;=H156*(1+'How to use'!$C$15),"Win",IF(AA156&lt;=H156*(1+'How to use'!$C$16),"Loss","Neutral"))))))</f>
        <v/>
      </c>
      <c r="Y156" s="35" t="str">
        <f aca="false">IF(OR(F156="",C156=""),"",IF(P156&lt;&gt;"","Done",IF(L156&lt;&gt;"",C156+'How to use'!$C$19+'How to use'!$C$17,C156+'How to use'!$C$18+'How to use'!$C$17)))</f>
        <v/>
      </c>
      <c r="Z156" s="9"/>
      <c r="AA156" s="36" t="str">
        <f aca="false">IF(P156&lt;&gt;"",P156,IF(L156&lt;&gt;"",L156,""))</f>
        <v/>
      </c>
      <c r="AB156" s="36" t="str">
        <f aca="false">IF(Q156&lt;&gt;"",Q156,IF(M156&lt;&gt;"",M156,""))</f>
        <v/>
      </c>
    </row>
    <row r="157" customFormat="false" ht="15" hidden="false" customHeight="false" outlineLevel="0" collapsed="false">
      <c r="A157" s="9"/>
      <c r="B157" s="9"/>
      <c r="C157" s="26"/>
      <c r="D157" s="9"/>
      <c r="E157" s="9"/>
      <c r="F157" s="9"/>
      <c r="G157" s="27"/>
      <c r="H157" s="28"/>
      <c r="I157" s="28"/>
      <c r="J157" s="29" t="str">
        <f aca="false">IF(OR(H157="",I157="",I157=0),"",H157/I157)</f>
        <v/>
      </c>
      <c r="K157" s="30"/>
      <c r="L157" s="28"/>
      <c r="M157" s="28"/>
      <c r="N157" s="29" t="str">
        <f aca="false">IF(OR(L157="",M157="",M157=0),"",L157/M157)</f>
        <v/>
      </c>
      <c r="O157" s="30"/>
      <c r="P157" s="28"/>
      <c r="Q157" s="28"/>
      <c r="R157" s="29" t="str">
        <f aca="false">IF(OR(P157="",Q157="",Q157=0),"",P157/Q157)</f>
        <v/>
      </c>
      <c r="S157" s="30"/>
      <c r="T157" s="31" t="str">
        <f aca="false">IF(OR(AA157="",H157="",H157=0),"",AA157/H157-1)</f>
        <v/>
      </c>
      <c r="U157" s="31" t="str">
        <f aca="false">IF(OR(AB157="",I157="",I157=0),"",AB157/I157-1)</f>
        <v/>
      </c>
      <c r="V157" s="32" t="str">
        <f aca="false">IF(OR(J157="",IF(R157&lt;&gt;"",R157,N157)=""),"",(IF(R157&lt;&gt;"",R157,N157)-J157)*100)</f>
        <v/>
      </c>
      <c r="W157" s="33" t="str">
        <f aca="false">IF(OR(K157="",IF(S157&lt;&gt;"",S157,O157)=""),"",K157-IF(S157&lt;&gt;"",S157,O157))</f>
        <v/>
      </c>
      <c r="X157" s="34" t="str">
        <f aca="false">IF(F157="","",IF(E157="Redirected (301)",IF(AA157="","Pending","Redirected – see target"),IF(OR(AA157="",H157=""),"Pending",IF(H157=0,IF(AA157&gt;0,"Win","Neutral"),IF(AA157&gt;=H157*(1+'How to use'!$C$15),"Win",IF(AA157&lt;=H157*(1+'How to use'!$C$16),"Loss","Neutral"))))))</f>
        <v/>
      </c>
      <c r="Y157" s="35" t="str">
        <f aca="false">IF(OR(F157="",C157=""),"",IF(P157&lt;&gt;"","Done",IF(L157&lt;&gt;"",C157+'How to use'!$C$19+'How to use'!$C$17,C157+'How to use'!$C$18+'How to use'!$C$17)))</f>
        <v/>
      </c>
      <c r="Z157" s="9"/>
      <c r="AA157" s="36" t="str">
        <f aca="false">IF(P157&lt;&gt;"",P157,IF(L157&lt;&gt;"",L157,""))</f>
        <v/>
      </c>
      <c r="AB157" s="36" t="str">
        <f aca="false">IF(Q157&lt;&gt;"",Q157,IF(M157&lt;&gt;"",M157,""))</f>
        <v/>
      </c>
    </row>
    <row r="158" customFormat="false" ht="15" hidden="false" customHeight="false" outlineLevel="0" collapsed="false">
      <c r="A158" s="9"/>
      <c r="B158" s="9"/>
      <c r="C158" s="26"/>
      <c r="D158" s="9"/>
      <c r="E158" s="9"/>
      <c r="F158" s="9"/>
      <c r="G158" s="27"/>
      <c r="H158" s="28"/>
      <c r="I158" s="28"/>
      <c r="J158" s="29" t="str">
        <f aca="false">IF(OR(H158="",I158="",I158=0),"",H158/I158)</f>
        <v/>
      </c>
      <c r="K158" s="30"/>
      <c r="L158" s="28"/>
      <c r="M158" s="28"/>
      <c r="N158" s="29" t="str">
        <f aca="false">IF(OR(L158="",M158="",M158=0),"",L158/M158)</f>
        <v/>
      </c>
      <c r="O158" s="30"/>
      <c r="P158" s="28"/>
      <c r="Q158" s="28"/>
      <c r="R158" s="29" t="str">
        <f aca="false">IF(OR(P158="",Q158="",Q158=0),"",P158/Q158)</f>
        <v/>
      </c>
      <c r="S158" s="30"/>
      <c r="T158" s="31" t="str">
        <f aca="false">IF(OR(AA158="",H158="",H158=0),"",AA158/H158-1)</f>
        <v/>
      </c>
      <c r="U158" s="31" t="str">
        <f aca="false">IF(OR(AB158="",I158="",I158=0),"",AB158/I158-1)</f>
        <v/>
      </c>
      <c r="V158" s="32" t="str">
        <f aca="false">IF(OR(J158="",IF(R158&lt;&gt;"",R158,N158)=""),"",(IF(R158&lt;&gt;"",R158,N158)-J158)*100)</f>
        <v/>
      </c>
      <c r="W158" s="33" t="str">
        <f aca="false">IF(OR(K158="",IF(S158&lt;&gt;"",S158,O158)=""),"",K158-IF(S158&lt;&gt;"",S158,O158))</f>
        <v/>
      </c>
      <c r="X158" s="34" t="str">
        <f aca="false">IF(F158="","",IF(E158="Redirected (301)",IF(AA158="","Pending","Redirected – see target"),IF(OR(AA158="",H158=""),"Pending",IF(H158=0,IF(AA158&gt;0,"Win","Neutral"),IF(AA158&gt;=H158*(1+'How to use'!$C$15),"Win",IF(AA158&lt;=H158*(1+'How to use'!$C$16),"Loss","Neutral"))))))</f>
        <v/>
      </c>
      <c r="Y158" s="35" t="str">
        <f aca="false">IF(OR(F158="",C158=""),"",IF(P158&lt;&gt;"","Done",IF(L158&lt;&gt;"",C158+'How to use'!$C$19+'How to use'!$C$17,C158+'How to use'!$C$18+'How to use'!$C$17)))</f>
        <v/>
      </c>
      <c r="Z158" s="9"/>
      <c r="AA158" s="36" t="str">
        <f aca="false">IF(P158&lt;&gt;"",P158,IF(L158&lt;&gt;"",L158,""))</f>
        <v/>
      </c>
      <c r="AB158" s="36" t="str">
        <f aca="false">IF(Q158&lt;&gt;"",Q158,IF(M158&lt;&gt;"",M158,""))</f>
        <v/>
      </c>
    </row>
    <row r="159" customFormat="false" ht="15" hidden="false" customHeight="false" outlineLevel="0" collapsed="false">
      <c r="A159" s="9"/>
      <c r="B159" s="9"/>
      <c r="C159" s="26"/>
      <c r="D159" s="9"/>
      <c r="E159" s="9"/>
      <c r="F159" s="9"/>
      <c r="G159" s="27"/>
      <c r="H159" s="28"/>
      <c r="I159" s="28"/>
      <c r="J159" s="29" t="str">
        <f aca="false">IF(OR(H159="",I159="",I159=0),"",H159/I159)</f>
        <v/>
      </c>
      <c r="K159" s="30"/>
      <c r="L159" s="28"/>
      <c r="M159" s="28"/>
      <c r="N159" s="29" t="str">
        <f aca="false">IF(OR(L159="",M159="",M159=0),"",L159/M159)</f>
        <v/>
      </c>
      <c r="O159" s="30"/>
      <c r="P159" s="28"/>
      <c r="Q159" s="28"/>
      <c r="R159" s="29" t="str">
        <f aca="false">IF(OR(P159="",Q159="",Q159=0),"",P159/Q159)</f>
        <v/>
      </c>
      <c r="S159" s="30"/>
      <c r="T159" s="31" t="str">
        <f aca="false">IF(OR(AA159="",H159="",H159=0),"",AA159/H159-1)</f>
        <v/>
      </c>
      <c r="U159" s="31" t="str">
        <f aca="false">IF(OR(AB159="",I159="",I159=0),"",AB159/I159-1)</f>
        <v/>
      </c>
      <c r="V159" s="32" t="str">
        <f aca="false">IF(OR(J159="",IF(R159&lt;&gt;"",R159,N159)=""),"",(IF(R159&lt;&gt;"",R159,N159)-J159)*100)</f>
        <v/>
      </c>
      <c r="W159" s="33" t="str">
        <f aca="false">IF(OR(K159="",IF(S159&lt;&gt;"",S159,O159)=""),"",K159-IF(S159&lt;&gt;"",S159,O159))</f>
        <v/>
      </c>
      <c r="X159" s="34" t="str">
        <f aca="false">IF(F159="","",IF(E159="Redirected (301)",IF(AA159="","Pending","Redirected – see target"),IF(OR(AA159="",H159=""),"Pending",IF(H159=0,IF(AA159&gt;0,"Win","Neutral"),IF(AA159&gt;=H159*(1+'How to use'!$C$15),"Win",IF(AA159&lt;=H159*(1+'How to use'!$C$16),"Loss","Neutral"))))))</f>
        <v/>
      </c>
      <c r="Y159" s="35" t="str">
        <f aca="false">IF(OR(F159="",C159=""),"",IF(P159&lt;&gt;"","Done",IF(L159&lt;&gt;"",C159+'How to use'!$C$19+'How to use'!$C$17,C159+'How to use'!$C$18+'How to use'!$C$17)))</f>
        <v/>
      </c>
      <c r="Z159" s="9"/>
      <c r="AA159" s="36" t="str">
        <f aca="false">IF(P159&lt;&gt;"",P159,IF(L159&lt;&gt;"",L159,""))</f>
        <v/>
      </c>
      <c r="AB159" s="36" t="str">
        <f aca="false">IF(Q159&lt;&gt;"",Q159,IF(M159&lt;&gt;"",M159,""))</f>
        <v/>
      </c>
    </row>
    <row r="160" customFormat="false" ht="15" hidden="false" customHeight="false" outlineLevel="0" collapsed="false">
      <c r="A160" s="9"/>
      <c r="B160" s="9"/>
      <c r="C160" s="26"/>
      <c r="D160" s="9"/>
      <c r="E160" s="9"/>
      <c r="F160" s="9"/>
      <c r="G160" s="27"/>
      <c r="H160" s="28"/>
      <c r="I160" s="28"/>
      <c r="J160" s="29" t="str">
        <f aca="false">IF(OR(H160="",I160="",I160=0),"",H160/I160)</f>
        <v/>
      </c>
      <c r="K160" s="30"/>
      <c r="L160" s="28"/>
      <c r="M160" s="28"/>
      <c r="N160" s="29" t="str">
        <f aca="false">IF(OR(L160="",M160="",M160=0),"",L160/M160)</f>
        <v/>
      </c>
      <c r="O160" s="30"/>
      <c r="P160" s="28"/>
      <c r="Q160" s="28"/>
      <c r="R160" s="29" t="str">
        <f aca="false">IF(OR(P160="",Q160="",Q160=0),"",P160/Q160)</f>
        <v/>
      </c>
      <c r="S160" s="30"/>
      <c r="T160" s="31" t="str">
        <f aca="false">IF(OR(AA160="",H160="",H160=0),"",AA160/H160-1)</f>
        <v/>
      </c>
      <c r="U160" s="31" t="str">
        <f aca="false">IF(OR(AB160="",I160="",I160=0),"",AB160/I160-1)</f>
        <v/>
      </c>
      <c r="V160" s="32" t="str">
        <f aca="false">IF(OR(J160="",IF(R160&lt;&gt;"",R160,N160)=""),"",(IF(R160&lt;&gt;"",R160,N160)-J160)*100)</f>
        <v/>
      </c>
      <c r="W160" s="33" t="str">
        <f aca="false">IF(OR(K160="",IF(S160&lt;&gt;"",S160,O160)=""),"",K160-IF(S160&lt;&gt;"",S160,O160))</f>
        <v/>
      </c>
      <c r="X160" s="34" t="str">
        <f aca="false">IF(F160="","",IF(E160="Redirected (301)",IF(AA160="","Pending","Redirected – see target"),IF(OR(AA160="",H160=""),"Pending",IF(H160=0,IF(AA160&gt;0,"Win","Neutral"),IF(AA160&gt;=H160*(1+'How to use'!$C$15),"Win",IF(AA160&lt;=H160*(1+'How to use'!$C$16),"Loss","Neutral"))))))</f>
        <v/>
      </c>
      <c r="Y160" s="35" t="str">
        <f aca="false">IF(OR(F160="",C160=""),"",IF(P160&lt;&gt;"","Done",IF(L160&lt;&gt;"",C160+'How to use'!$C$19+'How to use'!$C$17,C160+'How to use'!$C$18+'How to use'!$C$17)))</f>
        <v/>
      </c>
      <c r="Z160" s="9"/>
      <c r="AA160" s="36" t="str">
        <f aca="false">IF(P160&lt;&gt;"",P160,IF(L160&lt;&gt;"",L160,""))</f>
        <v/>
      </c>
      <c r="AB160" s="36" t="str">
        <f aca="false">IF(Q160&lt;&gt;"",Q160,IF(M160&lt;&gt;"",M160,""))</f>
        <v/>
      </c>
    </row>
    <row r="161" customFormat="false" ht="15" hidden="false" customHeight="false" outlineLevel="0" collapsed="false">
      <c r="A161" s="9"/>
      <c r="B161" s="9"/>
      <c r="C161" s="26"/>
      <c r="D161" s="9"/>
      <c r="E161" s="9"/>
      <c r="F161" s="9"/>
      <c r="G161" s="27"/>
      <c r="H161" s="28"/>
      <c r="I161" s="28"/>
      <c r="J161" s="29" t="str">
        <f aca="false">IF(OR(H161="",I161="",I161=0),"",H161/I161)</f>
        <v/>
      </c>
      <c r="K161" s="30"/>
      <c r="L161" s="28"/>
      <c r="M161" s="28"/>
      <c r="N161" s="29" t="str">
        <f aca="false">IF(OR(L161="",M161="",M161=0),"",L161/M161)</f>
        <v/>
      </c>
      <c r="O161" s="30"/>
      <c r="P161" s="28"/>
      <c r="Q161" s="28"/>
      <c r="R161" s="29" t="str">
        <f aca="false">IF(OR(P161="",Q161="",Q161=0),"",P161/Q161)</f>
        <v/>
      </c>
      <c r="S161" s="30"/>
      <c r="T161" s="31" t="str">
        <f aca="false">IF(OR(AA161="",H161="",H161=0),"",AA161/H161-1)</f>
        <v/>
      </c>
      <c r="U161" s="31" t="str">
        <f aca="false">IF(OR(AB161="",I161="",I161=0),"",AB161/I161-1)</f>
        <v/>
      </c>
      <c r="V161" s="32" t="str">
        <f aca="false">IF(OR(J161="",IF(R161&lt;&gt;"",R161,N161)=""),"",(IF(R161&lt;&gt;"",R161,N161)-J161)*100)</f>
        <v/>
      </c>
      <c r="W161" s="33" t="str">
        <f aca="false">IF(OR(K161="",IF(S161&lt;&gt;"",S161,O161)=""),"",K161-IF(S161&lt;&gt;"",S161,O161))</f>
        <v/>
      </c>
      <c r="X161" s="34" t="str">
        <f aca="false">IF(F161="","",IF(E161="Redirected (301)",IF(AA161="","Pending","Redirected – see target"),IF(OR(AA161="",H161=""),"Pending",IF(H161=0,IF(AA161&gt;0,"Win","Neutral"),IF(AA161&gt;=H161*(1+'How to use'!$C$15),"Win",IF(AA161&lt;=H161*(1+'How to use'!$C$16),"Loss","Neutral"))))))</f>
        <v/>
      </c>
      <c r="Y161" s="35" t="str">
        <f aca="false">IF(OR(F161="",C161=""),"",IF(P161&lt;&gt;"","Done",IF(L161&lt;&gt;"",C161+'How to use'!$C$19+'How to use'!$C$17,C161+'How to use'!$C$18+'How to use'!$C$17)))</f>
        <v/>
      </c>
      <c r="Z161" s="9"/>
      <c r="AA161" s="36" t="str">
        <f aca="false">IF(P161&lt;&gt;"",P161,IF(L161&lt;&gt;"",L161,""))</f>
        <v/>
      </c>
      <c r="AB161" s="36" t="str">
        <f aca="false">IF(Q161&lt;&gt;"",Q161,IF(M161&lt;&gt;"",M161,""))</f>
        <v/>
      </c>
    </row>
    <row r="162" customFormat="false" ht="15" hidden="false" customHeight="false" outlineLevel="0" collapsed="false">
      <c r="A162" s="9"/>
      <c r="B162" s="9"/>
      <c r="C162" s="26"/>
      <c r="D162" s="9"/>
      <c r="E162" s="9"/>
      <c r="F162" s="9"/>
      <c r="G162" s="27"/>
      <c r="H162" s="28"/>
      <c r="I162" s="28"/>
      <c r="J162" s="29" t="str">
        <f aca="false">IF(OR(H162="",I162="",I162=0),"",H162/I162)</f>
        <v/>
      </c>
      <c r="K162" s="30"/>
      <c r="L162" s="28"/>
      <c r="M162" s="28"/>
      <c r="N162" s="29" t="str">
        <f aca="false">IF(OR(L162="",M162="",M162=0),"",L162/M162)</f>
        <v/>
      </c>
      <c r="O162" s="30"/>
      <c r="P162" s="28"/>
      <c r="Q162" s="28"/>
      <c r="R162" s="29" t="str">
        <f aca="false">IF(OR(P162="",Q162="",Q162=0),"",P162/Q162)</f>
        <v/>
      </c>
      <c r="S162" s="30"/>
      <c r="T162" s="31" t="str">
        <f aca="false">IF(OR(AA162="",H162="",H162=0),"",AA162/H162-1)</f>
        <v/>
      </c>
      <c r="U162" s="31" t="str">
        <f aca="false">IF(OR(AB162="",I162="",I162=0),"",AB162/I162-1)</f>
        <v/>
      </c>
      <c r="V162" s="32" t="str">
        <f aca="false">IF(OR(J162="",IF(R162&lt;&gt;"",R162,N162)=""),"",(IF(R162&lt;&gt;"",R162,N162)-J162)*100)</f>
        <v/>
      </c>
      <c r="W162" s="33" t="str">
        <f aca="false">IF(OR(K162="",IF(S162&lt;&gt;"",S162,O162)=""),"",K162-IF(S162&lt;&gt;"",S162,O162))</f>
        <v/>
      </c>
      <c r="X162" s="34" t="str">
        <f aca="false">IF(F162="","",IF(E162="Redirected (301)",IF(AA162="","Pending","Redirected – see target"),IF(OR(AA162="",H162=""),"Pending",IF(H162=0,IF(AA162&gt;0,"Win","Neutral"),IF(AA162&gt;=H162*(1+'How to use'!$C$15),"Win",IF(AA162&lt;=H162*(1+'How to use'!$C$16),"Loss","Neutral"))))))</f>
        <v/>
      </c>
      <c r="Y162" s="35" t="str">
        <f aca="false">IF(OR(F162="",C162=""),"",IF(P162&lt;&gt;"","Done",IF(L162&lt;&gt;"",C162+'How to use'!$C$19+'How to use'!$C$17,C162+'How to use'!$C$18+'How to use'!$C$17)))</f>
        <v/>
      </c>
      <c r="Z162" s="9"/>
      <c r="AA162" s="36" t="str">
        <f aca="false">IF(P162&lt;&gt;"",P162,IF(L162&lt;&gt;"",L162,""))</f>
        <v/>
      </c>
      <c r="AB162" s="36" t="str">
        <f aca="false">IF(Q162&lt;&gt;"",Q162,IF(M162&lt;&gt;"",M162,""))</f>
        <v/>
      </c>
    </row>
    <row r="163" customFormat="false" ht="15" hidden="false" customHeight="false" outlineLevel="0" collapsed="false">
      <c r="A163" s="9"/>
      <c r="B163" s="9"/>
      <c r="C163" s="26"/>
      <c r="D163" s="9"/>
      <c r="E163" s="9"/>
      <c r="F163" s="9"/>
      <c r="G163" s="27"/>
      <c r="H163" s="28"/>
      <c r="I163" s="28"/>
      <c r="J163" s="29" t="str">
        <f aca="false">IF(OR(H163="",I163="",I163=0),"",H163/I163)</f>
        <v/>
      </c>
      <c r="K163" s="30"/>
      <c r="L163" s="28"/>
      <c r="M163" s="28"/>
      <c r="N163" s="29" t="str">
        <f aca="false">IF(OR(L163="",M163="",M163=0),"",L163/M163)</f>
        <v/>
      </c>
      <c r="O163" s="30"/>
      <c r="P163" s="28"/>
      <c r="Q163" s="28"/>
      <c r="R163" s="29" t="str">
        <f aca="false">IF(OR(P163="",Q163="",Q163=0),"",P163/Q163)</f>
        <v/>
      </c>
      <c r="S163" s="30"/>
      <c r="T163" s="31" t="str">
        <f aca="false">IF(OR(AA163="",H163="",H163=0),"",AA163/H163-1)</f>
        <v/>
      </c>
      <c r="U163" s="31" t="str">
        <f aca="false">IF(OR(AB163="",I163="",I163=0),"",AB163/I163-1)</f>
        <v/>
      </c>
      <c r="V163" s="32" t="str">
        <f aca="false">IF(OR(J163="",IF(R163&lt;&gt;"",R163,N163)=""),"",(IF(R163&lt;&gt;"",R163,N163)-J163)*100)</f>
        <v/>
      </c>
      <c r="W163" s="33" t="str">
        <f aca="false">IF(OR(K163="",IF(S163&lt;&gt;"",S163,O163)=""),"",K163-IF(S163&lt;&gt;"",S163,O163))</f>
        <v/>
      </c>
      <c r="X163" s="34" t="str">
        <f aca="false">IF(F163="","",IF(E163="Redirected (301)",IF(AA163="","Pending","Redirected – see target"),IF(OR(AA163="",H163=""),"Pending",IF(H163=0,IF(AA163&gt;0,"Win","Neutral"),IF(AA163&gt;=H163*(1+'How to use'!$C$15),"Win",IF(AA163&lt;=H163*(1+'How to use'!$C$16),"Loss","Neutral"))))))</f>
        <v/>
      </c>
      <c r="Y163" s="35" t="str">
        <f aca="false">IF(OR(F163="",C163=""),"",IF(P163&lt;&gt;"","Done",IF(L163&lt;&gt;"",C163+'How to use'!$C$19+'How to use'!$C$17,C163+'How to use'!$C$18+'How to use'!$C$17)))</f>
        <v/>
      </c>
      <c r="Z163" s="9"/>
      <c r="AA163" s="36" t="str">
        <f aca="false">IF(P163&lt;&gt;"",P163,IF(L163&lt;&gt;"",L163,""))</f>
        <v/>
      </c>
      <c r="AB163" s="36" t="str">
        <f aca="false">IF(Q163&lt;&gt;"",Q163,IF(M163&lt;&gt;"",M163,""))</f>
        <v/>
      </c>
    </row>
    <row r="164" customFormat="false" ht="15" hidden="false" customHeight="false" outlineLevel="0" collapsed="false">
      <c r="A164" s="9"/>
      <c r="B164" s="9"/>
      <c r="C164" s="26"/>
      <c r="D164" s="9"/>
      <c r="E164" s="9"/>
      <c r="F164" s="9"/>
      <c r="G164" s="27"/>
      <c r="H164" s="28"/>
      <c r="I164" s="28"/>
      <c r="J164" s="29" t="str">
        <f aca="false">IF(OR(H164="",I164="",I164=0),"",H164/I164)</f>
        <v/>
      </c>
      <c r="K164" s="30"/>
      <c r="L164" s="28"/>
      <c r="M164" s="28"/>
      <c r="N164" s="29" t="str">
        <f aca="false">IF(OR(L164="",M164="",M164=0),"",L164/M164)</f>
        <v/>
      </c>
      <c r="O164" s="30"/>
      <c r="P164" s="28"/>
      <c r="Q164" s="28"/>
      <c r="R164" s="29" t="str">
        <f aca="false">IF(OR(P164="",Q164="",Q164=0),"",P164/Q164)</f>
        <v/>
      </c>
      <c r="S164" s="30"/>
      <c r="T164" s="31" t="str">
        <f aca="false">IF(OR(AA164="",H164="",H164=0),"",AA164/H164-1)</f>
        <v/>
      </c>
      <c r="U164" s="31" t="str">
        <f aca="false">IF(OR(AB164="",I164="",I164=0),"",AB164/I164-1)</f>
        <v/>
      </c>
      <c r="V164" s="32" t="str">
        <f aca="false">IF(OR(J164="",IF(R164&lt;&gt;"",R164,N164)=""),"",(IF(R164&lt;&gt;"",R164,N164)-J164)*100)</f>
        <v/>
      </c>
      <c r="W164" s="33" t="str">
        <f aca="false">IF(OR(K164="",IF(S164&lt;&gt;"",S164,O164)=""),"",K164-IF(S164&lt;&gt;"",S164,O164))</f>
        <v/>
      </c>
      <c r="X164" s="34" t="str">
        <f aca="false">IF(F164="","",IF(E164="Redirected (301)",IF(AA164="","Pending","Redirected – see target"),IF(OR(AA164="",H164=""),"Pending",IF(H164=0,IF(AA164&gt;0,"Win","Neutral"),IF(AA164&gt;=H164*(1+'How to use'!$C$15),"Win",IF(AA164&lt;=H164*(1+'How to use'!$C$16),"Loss","Neutral"))))))</f>
        <v/>
      </c>
      <c r="Y164" s="35" t="str">
        <f aca="false">IF(OR(F164="",C164=""),"",IF(P164&lt;&gt;"","Done",IF(L164&lt;&gt;"",C164+'How to use'!$C$19+'How to use'!$C$17,C164+'How to use'!$C$18+'How to use'!$C$17)))</f>
        <v/>
      </c>
      <c r="Z164" s="9"/>
      <c r="AA164" s="36" t="str">
        <f aca="false">IF(P164&lt;&gt;"",P164,IF(L164&lt;&gt;"",L164,""))</f>
        <v/>
      </c>
      <c r="AB164" s="36" t="str">
        <f aca="false">IF(Q164&lt;&gt;"",Q164,IF(M164&lt;&gt;"",M164,""))</f>
        <v/>
      </c>
    </row>
    <row r="165" customFormat="false" ht="15" hidden="false" customHeight="false" outlineLevel="0" collapsed="false">
      <c r="A165" s="9"/>
      <c r="B165" s="9"/>
      <c r="C165" s="26"/>
      <c r="D165" s="9"/>
      <c r="E165" s="9"/>
      <c r="F165" s="9"/>
      <c r="G165" s="27"/>
      <c r="H165" s="28"/>
      <c r="I165" s="28"/>
      <c r="J165" s="29" t="str">
        <f aca="false">IF(OR(H165="",I165="",I165=0),"",H165/I165)</f>
        <v/>
      </c>
      <c r="K165" s="30"/>
      <c r="L165" s="28"/>
      <c r="M165" s="28"/>
      <c r="N165" s="29" t="str">
        <f aca="false">IF(OR(L165="",M165="",M165=0),"",L165/M165)</f>
        <v/>
      </c>
      <c r="O165" s="30"/>
      <c r="P165" s="28"/>
      <c r="Q165" s="28"/>
      <c r="R165" s="29" t="str">
        <f aca="false">IF(OR(P165="",Q165="",Q165=0),"",P165/Q165)</f>
        <v/>
      </c>
      <c r="S165" s="30"/>
      <c r="T165" s="31" t="str">
        <f aca="false">IF(OR(AA165="",H165="",H165=0),"",AA165/H165-1)</f>
        <v/>
      </c>
      <c r="U165" s="31" t="str">
        <f aca="false">IF(OR(AB165="",I165="",I165=0),"",AB165/I165-1)</f>
        <v/>
      </c>
      <c r="V165" s="32" t="str">
        <f aca="false">IF(OR(J165="",IF(R165&lt;&gt;"",R165,N165)=""),"",(IF(R165&lt;&gt;"",R165,N165)-J165)*100)</f>
        <v/>
      </c>
      <c r="W165" s="33" t="str">
        <f aca="false">IF(OR(K165="",IF(S165&lt;&gt;"",S165,O165)=""),"",K165-IF(S165&lt;&gt;"",S165,O165))</f>
        <v/>
      </c>
      <c r="X165" s="34" t="str">
        <f aca="false">IF(F165="","",IF(E165="Redirected (301)",IF(AA165="","Pending","Redirected – see target"),IF(OR(AA165="",H165=""),"Pending",IF(H165=0,IF(AA165&gt;0,"Win","Neutral"),IF(AA165&gt;=H165*(1+'How to use'!$C$15),"Win",IF(AA165&lt;=H165*(1+'How to use'!$C$16),"Loss","Neutral"))))))</f>
        <v/>
      </c>
      <c r="Y165" s="35" t="str">
        <f aca="false">IF(OR(F165="",C165=""),"",IF(P165&lt;&gt;"","Done",IF(L165&lt;&gt;"",C165+'How to use'!$C$19+'How to use'!$C$17,C165+'How to use'!$C$18+'How to use'!$C$17)))</f>
        <v/>
      </c>
      <c r="Z165" s="9"/>
      <c r="AA165" s="36" t="str">
        <f aca="false">IF(P165&lt;&gt;"",P165,IF(L165&lt;&gt;"",L165,""))</f>
        <v/>
      </c>
      <c r="AB165" s="36" t="str">
        <f aca="false">IF(Q165&lt;&gt;"",Q165,IF(M165&lt;&gt;"",M165,""))</f>
        <v/>
      </c>
    </row>
    <row r="166" customFormat="false" ht="15" hidden="false" customHeight="false" outlineLevel="0" collapsed="false">
      <c r="A166" s="9"/>
      <c r="B166" s="9"/>
      <c r="C166" s="26"/>
      <c r="D166" s="9"/>
      <c r="E166" s="9"/>
      <c r="F166" s="9"/>
      <c r="G166" s="27"/>
      <c r="H166" s="28"/>
      <c r="I166" s="28"/>
      <c r="J166" s="29" t="str">
        <f aca="false">IF(OR(H166="",I166="",I166=0),"",H166/I166)</f>
        <v/>
      </c>
      <c r="K166" s="30"/>
      <c r="L166" s="28"/>
      <c r="M166" s="28"/>
      <c r="N166" s="29" t="str">
        <f aca="false">IF(OR(L166="",M166="",M166=0),"",L166/M166)</f>
        <v/>
      </c>
      <c r="O166" s="30"/>
      <c r="P166" s="28"/>
      <c r="Q166" s="28"/>
      <c r="R166" s="29" t="str">
        <f aca="false">IF(OR(P166="",Q166="",Q166=0),"",P166/Q166)</f>
        <v/>
      </c>
      <c r="S166" s="30"/>
      <c r="T166" s="31" t="str">
        <f aca="false">IF(OR(AA166="",H166="",H166=0),"",AA166/H166-1)</f>
        <v/>
      </c>
      <c r="U166" s="31" t="str">
        <f aca="false">IF(OR(AB166="",I166="",I166=0),"",AB166/I166-1)</f>
        <v/>
      </c>
      <c r="V166" s="32" t="str">
        <f aca="false">IF(OR(J166="",IF(R166&lt;&gt;"",R166,N166)=""),"",(IF(R166&lt;&gt;"",R166,N166)-J166)*100)</f>
        <v/>
      </c>
      <c r="W166" s="33" t="str">
        <f aca="false">IF(OR(K166="",IF(S166&lt;&gt;"",S166,O166)=""),"",K166-IF(S166&lt;&gt;"",S166,O166))</f>
        <v/>
      </c>
      <c r="X166" s="34" t="str">
        <f aca="false">IF(F166="","",IF(E166="Redirected (301)",IF(AA166="","Pending","Redirected – see target"),IF(OR(AA166="",H166=""),"Pending",IF(H166=0,IF(AA166&gt;0,"Win","Neutral"),IF(AA166&gt;=H166*(1+'How to use'!$C$15),"Win",IF(AA166&lt;=H166*(1+'How to use'!$C$16),"Loss","Neutral"))))))</f>
        <v/>
      </c>
      <c r="Y166" s="35" t="str">
        <f aca="false">IF(OR(F166="",C166=""),"",IF(P166&lt;&gt;"","Done",IF(L166&lt;&gt;"",C166+'How to use'!$C$19+'How to use'!$C$17,C166+'How to use'!$C$18+'How to use'!$C$17)))</f>
        <v/>
      </c>
      <c r="Z166" s="9"/>
      <c r="AA166" s="36" t="str">
        <f aca="false">IF(P166&lt;&gt;"",P166,IF(L166&lt;&gt;"",L166,""))</f>
        <v/>
      </c>
      <c r="AB166" s="36" t="str">
        <f aca="false">IF(Q166&lt;&gt;"",Q166,IF(M166&lt;&gt;"",M166,""))</f>
        <v/>
      </c>
    </row>
    <row r="167" customFormat="false" ht="15" hidden="false" customHeight="false" outlineLevel="0" collapsed="false">
      <c r="A167" s="9"/>
      <c r="B167" s="9"/>
      <c r="C167" s="26"/>
      <c r="D167" s="9"/>
      <c r="E167" s="9"/>
      <c r="F167" s="9"/>
      <c r="G167" s="27"/>
      <c r="H167" s="28"/>
      <c r="I167" s="28"/>
      <c r="J167" s="29" t="str">
        <f aca="false">IF(OR(H167="",I167="",I167=0),"",H167/I167)</f>
        <v/>
      </c>
      <c r="K167" s="30"/>
      <c r="L167" s="28"/>
      <c r="M167" s="28"/>
      <c r="N167" s="29" t="str">
        <f aca="false">IF(OR(L167="",M167="",M167=0),"",L167/M167)</f>
        <v/>
      </c>
      <c r="O167" s="30"/>
      <c r="P167" s="28"/>
      <c r="Q167" s="28"/>
      <c r="R167" s="29" t="str">
        <f aca="false">IF(OR(P167="",Q167="",Q167=0),"",P167/Q167)</f>
        <v/>
      </c>
      <c r="S167" s="30"/>
      <c r="T167" s="31" t="str">
        <f aca="false">IF(OR(AA167="",H167="",H167=0),"",AA167/H167-1)</f>
        <v/>
      </c>
      <c r="U167" s="31" t="str">
        <f aca="false">IF(OR(AB167="",I167="",I167=0),"",AB167/I167-1)</f>
        <v/>
      </c>
      <c r="V167" s="32" t="str">
        <f aca="false">IF(OR(J167="",IF(R167&lt;&gt;"",R167,N167)=""),"",(IF(R167&lt;&gt;"",R167,N167)-J167)*100)</f>
        <v/>
      </c>
      <c r="W167" s="33" t="str">
        <f aca="false">IF(OR(K167="",IF(S167&lt;&gt;"",S167,O167)=""),"",K167-IF(S167&lt;&gt;"",S167,O167))</f>
        <v/>
      </c>
      <c r="X167" s="34" t="str">
        <f aca="false">IF(F167="","",IF(E167="Redirected (301)",IF(AA167="","Pending","Redirected – see target"),IF(OR(AA167="",H167=""),"Pending",IF(H167=0,IF(AA167&gt;0,"Win","Neutral"),IF(AA167&gt;=H167*(1+'How to use'!$C$15),"Win",IF(AA167&lt;=H167*(1+'How to use'!$C$16),"Loss","Neutral"))))))</f>
        <v/>
      </c>
      <c r="Y167" s="35" t="str">
        <f aca="false">IF(OR(F167="",C167=""),"",IF(P167&lt;&gt;"","Done",IF(L167&lt;&gt;"",C167+'How to use'!$C$19+'How to use'!$C$17,C167+'How to use'!$C$18+'How to use'!$C$17)))</f>
        <v/>
      </c>
      <c r="Z167" s="9"/>
      <c r="AA167" s="36" t="str">
        <f aca="false">IF(P167&lt;&gt;"",P167,IF(L167&lt;&gt;"",L167,""))</f>
        <v/>
      </c>
      <c r="AB167" s="36" t="str">
        <f aca="false">IF(Q167&lt;&gt;"",Q167,IF(M167&lt;&gt;"",M167,""))</f>
        <v/>
      </c>
    </row>
    <row r="168" customFormat="false" ht="15" hidden="false" customHeight="false" outlineLevel="0" collapsed="false">
      <c r="A168" s="9"/>
      <c r="B168" s="9"/>
      <c r="C168" s="26"/>
      <c r="D168" s="9"/>
      <c r="E168" s="9"/>
      <c r="F168" s="9"/>
      <c r="G168" s="27"/>
      <c r="H168" s="28"/>
      <c r="I168" s="28"/>
      <c r="J168" s="29" t="str">
        <f aca="false">IF(OR(H168="",I168="",I168=0),"",H168/I168)</f>
        <v/>
      </c>
      <c r="K168" s="30"/>
      <c r="L168" s="28"/>
      <c r="M168" s="28"/>
      <c r="N168" s="29" t="str">
        <f aca="false">IF(OR(L168="",M168="",M168=0),"",L168/M168)</f>
        <v/>
      </c>
      <c r="O168" s="30"/>
      <c r="P168" s="28"/>
      <c r="Q168" s="28"/>
      <c r="R168" s="29" t="str">
        <f aca="false">IF(OR(P168="",Q168="",Q168=0),"",P168/Q168)</f>
        <v/>
      </c>
      <c r="S168" s="30"/>
      <c r="T168" s="31" t="str">
        <f aca="false">IF(OR(AA168="",H168="",H168=0),"",AA168/H168-1)</f>
        <v/>
      </c>
      <c r="U168" s="31" t="str">
        <f aca="false">IF(OR(AB168="",I168="",I168=0),"",AB168/I168-1)</f>
        <v/>
      </c>
      <c r="V168" s="32" t="str">
        <f aca="false">IF(OR(J168="",IF(R168&lt;&gt;"",R168,N168)=""),"",(IF(R168&lt;&gt;"",R168,N168)-J168)*100)</f>
        <v/>
      </c>
      <c r="W168" s="33" t="str">
        <f aca="false">IF(OR(K168="",IF(S168&lt;&gt;"",S168,O168)=""),"",K168-IF(S168&lt;&gt;"",S168,O168))</f>
        <v/>
      </c>
      <c r="X168" s="34" t="str">
        <f aca="false">IF(F168="","",IF(E168="Redirected (301)",IF(AA168="","Pending","Redirected – see target"),IF(OR(AA168="",H168=""),"Pending",IF(H168=0,IF(AA168&gt;0,"Win","Neutral"),IF(AA168&gt;=H168*(1+'How to use'!$C$15),"Win",IF(AA168&lt;=H168*(1+'How to use'!$C$16),"Loss","Neutral"))))))</f>
        <v/>
      </c>
      <c r="Y168" s="35" t="str">
        <f aca="false">IF(OR(F168="",C168=""),"",IF(P168&lt;&gt;"","Done",IF(L168&lt;&gt;"",C168+'How to use'!$C$19+'How to use'!$C$17,C168+'How to use'!$C$18+'How to use'!$C$17)))</f>
        <v/>
      </c>
      <c r="Z168" s="9"/>
      <c r="AA168" s="36" t="str">
        <f aca="false">IF(P168&lt;&gt;"",P168,IF(L168&lt;&gt;"",L168,""))</f>
        <v/>
      </c>
      <c r="AB168" s="36" t="str">
        <f aca="false">IF(Q168&lt;&gt;"",Q168,IF(M168&lt;&gt;"",M168,""))</f>
        <v/>
      </c>
    </row>
    <row r="169" customFormat="false" ht="15" hidden="false" customHeight="false" outlineLevel="0" collapsed="false">
      <c r="A169" s="9"/>
      <c r="B169" s="9"/>
      <c r="C169" s="26"/>
      <c r="D169" s="9"/>
      <c r="E169" s="9"/>
      <c r="F169" s="9"/>
      <c r="G169" s="27"/>
      <c r="H169" s="28"/>
      <c r="I169" s="28"/>
      <c r="J169" s="29" t="str">
        <f aca="false">IF(OR(H169="",I169="",I169=0),"",H169/I169)</f>
        <v/>
      </c>
      <c r="K169" s="30"/>
      <c r="L169" s="28"/>
      <c r="M169" s="28"/>
      <c r="N169" s="29" t="str">
        <f aca="false">IF(OR(L169="",M169="",M169=0),"",L169/M169)</f>
        <v/>
      </c>
      <c r="O169" s="30"/>
      <c r="P169" s="28"/>
      <c r="Q169" s="28"/>
      <c r="R169" s="29" t="str">
        <f aca="false">IF(OR(P169="",Q169="",Q169=0),"",P169/Q169)</f>
        <v/>
      </c>
      <c r="S169" s="30"/>
      <c r="T169" s="31" t="str">
        <f aca="false">IF(OR(AA169="",H169="",H169=0),"",AA169/H169-1)</f>
        <v/>
      </c>
      <c r="U169" s="31" t="str">
        <f aca="false">IF(OR(AB169="",I169="",I169=0),"",AB169/I169-1)</f>
        <v/>
      </c>
      <c r="V169" s="32" t="str">
        <f aca="false">IF(OR(J169="",IF(R169&lt;&gt;"",R169,N169)=""),"",(IF(R169&lt;&gt;"",R169,N169)-J169)*100)</f>
        <v/>
      </c>
      <c r="W169" s="33" t="str">
        <f aca="false">IF(OR(K169="",IF(S169&lt;&gt;"",S169,O169)=""),"",K169-IF(S169&lt;&gt;"",S169,O169))</f>
        <v/>
      </c>
      <c r="X169" s="34" t="str">
        <f aca="false">IF(F169="","",IF(E169="Redirected (301)",IF(AA169="","Pending","Redirected – see target"),IF(OR(AA169="",H169=""),"Pending",IF(H169=0,IF(AA169&gt;0,"Win","Neutral"),IF(AA169&gt;=H169*(1+'How to use'!$C$15),"Win",IF(AA169&lt;=H169*(1+'How to use'!$C$16),"Loss","Neutral"))))))</f>
        <v/>
      </c>
      <c r="Y169" s="35" t="str">
        <f aca="false">IF(OR(F169="",C169=""),"",IF(P169&lt;&gt;"","Done",IF(L169&lt;&gt;"",C169+'How to use'!$C$19+'How to use'!$C$17,C169+'How to use'!$C$18+'How to use'!$C$17)))</f>
        <v/>
      </c>
      <c r="Z169" s="9"/>
      <c r="AA169" s="36" t="str">
        <f aca="false">IF(P169&lt;&gt;"",P169,IF(L169&lt;&gt;"",L169,""))</f>
        <v/>
      </c>
      <c r="AB169" s="36" t="str">
        <f aca="false">IF(Q169&lt;&gt;"",Q169,IF(M169&lt;&gt;"",M169,""))</f>
        <v/>
      </c>
    </row>
    <row r="170" customFormat="false" ht="15" hidden="false" customHeight="false" outlineLevel="0" collapsed="false">
      <c r="A170" s="9"/>
      <c r="B170" s="9"/>
      <c r="C170" s="26"/>
      <c r="D170" s="9"/>
      <c r="E170" s="9"/>
      <c r="F170" s="9"/>
      <c r="G170" s="27"/>
      <c r="H170" s="28"/>
      <c r="I170" s="28"/>
      <c r="J170" s="29" t="str">
        <f aca="false">IF(OR(H170="",I170="",I170=0),"",H170/I170)</f>
        <v/>
      </c>
      <c r="K170" s="30"/>
      <c r="L170" s="28"/>
      <c r="M170" s="28"/>
      <c r="N170" s="29" t="str">
        <f aca="false">IF(OR(L170="",M170="",M170=0),"",L170/M170)</f>
        <v/>
      </c>
      <c r="O170" s="30"/>
      <c r="P170" s="28"/>
      <c r="Q170" s="28"/>
      <c r="R170" s="29" t="str">
        <f aca="false">IF(OR(P170="",Q170="",Q170=0),"",P170/Q170)</f>
        <v/>
      </c>
      <c r="S170" s="30"/>
      <c r="T170" s="31" t="str">
        <f aca="false">IF(OR(AA170="",H170="",H170=0),"",AA170/H170-1)</f>
        <v/>
      </c>
      <c r="U170" s="31" t="str">
        <f aca="false">IF(OR(AB170="",I170="",I170=0),"",AB170/I170-1)</f>
        <v/>
      </c>
      <c r="V170" s="32" t="str">
        <f aca="false">IF(OR(J170="",IF(R170&lt;&gt;"",R170,N170)=""),"",(IF(R170&lt;&gt;"",R170,N170)-J170)*100)</f>
        <v/>
      </c>
      <c r="W170" s="33" t="str">
        <f aca="false">IF(OR(K170="",IF(S170&lt;&gt;"",S170,O170)=""),"",K170-IF(S170&lt;&gt;"",S170,O170))</f>
        <v/>
      </c>
      <c r="X170" s="34" t="str">
        <f aca="false">IF(F170="","",IF(E170="Redirected (301)",IF(AA170="","Pending","Redirected – see target"),IF(OR(AA170="",H170=""),"Pending",IF(H170=0,IF(AA170&gt;0,"Win","Neutral"),IF(AA170&gt;=H170*(1+'How to use'!$C$15),"Win",IF(AA170&lt;=H170*(1+'How to use'!$C$16),"Loss","Neutral"))))))</f>
        <v/>
      </c>
      <c r="Y170" s="35" t="str">
        <f aca="false">IF(OR(F170="",C170=""),"",IF(P170&lt;&gt;"","Done",IF(L170&lt;&gt;"",C170+'How to use'!$C$19+'How to use'!$C$17,C170+'How to use'!$C$18+'How to use'!$C$17)))</f>
        <v/>
      </c>
      <c r="Z170" s="9"/>
      <c r="AA170" s="36" t="str">
        <f aca="false">IF(P170&lt;&gt;"",P170,IF(L170&lt;&gt;"",L170,""))</f>
        <v/>
      </c>
      <c r="AB170" s="36" t="str">
        <f aca="false">IF(Q170&lt;&gt;"",Q170,IF(M170&lt;&gt;"",M170,""))</f>
        <v/>
      </c>
    </row>
    <row r="171" customFormat="false" ht="15" hidden="false" customHeight="false" outlineLevel="0" collapsed="false">
      <c r="A171" s="9"/>
      <c r="B171" s="9"/>
      <c r="C171" s="26"/>
      <c r="D171" s="9"/>
      <c r="E171" s="9"/>
      <c r="F171" s="9"/>
      <c r="G171" s="27"/>
      <c r="H171" s="28"/>
      <c r="I171" s="28"/>
      <c r="J171" s="29" t="str">
        <f aca="false">IF(OR(H171="",I171="",I171=0),"",H171/I171)</f>
        <v/>
      </c>
      <c r="K171" s="30"/>
      <c r="L171" s="28"/>
      <c r="M171" s="28"/>
      <c r="N171" s="29" t="str">
        <f aca="false">IF(OR(L171="",M171="",M171=0),"",L171/M171)</f>
        <v/>
      </c>
      <c r="O171" s="30"/>
      <c r="P171" s="28"/>
      <c r="Q171" s="28"/>
      <c r="R171" s="29" t="str">
        <f aca="false">IF(OR(P171="",Q171="",Q171=0),"",P171/Q171)</f>
        <v/>
      </c>
      <c r="S171" s="30"/>
      <c r="T171" s="31" t="str">
        <f aca="false">IF(OR(AA171="",H171="",H171=0),"",AA171/H171-1)</f>
        <v/>
      </c>
      <c r="U171" s="31" t="str">
        <f aca="false">IF(OR(AB171="",I171="",I171=0),"",AB171/I171-1)</f>
        <v/>
      </c>
      <c r="V171" s="32" t="str">
        <f aca="false">IF(OR(J171="",IF(R171&lt;&gt;"",R171,N171)=""),"",(IF(R171&lt;&gt;"",R171,N171)-J171)*100)</f>
        <v/>
      </c>
      <c r="W171" s="33" t="str">
        <f aca="false">IF(OR(K171="",IF(S171&lt;&gt;"",S171,O171)=""),"",K171-IF(S171&lt;&gt;"",S171,O171))</f>
        <v/>
      </c>
      <c r="X171" s="34" t="str">
        <f aca="false">IF(F171="","",IF(E171="Redirected (301)",IF(AA171="","Pending","Redirected – see target"),IF(OR(AA171="",H171=""),"Pending",IF(H171=0,IF(AA171&gt;0,"Win","Neutral"),IF(AA171&gt;=H171*(1+'How to use'!$C$15),"Win",IF(AA171&lt;=H171*(1+'How to use'!$C$16),"Loss","Neutral"))))))</f>
        <v/>
      </c>
      <c r="Y171" s="35" t="str">
        <f aca="false">IF(OR(F171="",C171=""),"",IF(P171&lt;&gt;"","Done",IF(L171&lt;&gt;"",C171+'How to use'!$C$19+'How to use'!$C$17,C171+'How to use'!$C$18+'How to use'!$C$17)))</f>
        <v/>
      </c>
      <c r="Z171" s="9"/>
      <c r="AA171" s="36" t="str">
        <f aca="false">IF(P171&lt;&gt;"",P171,IF(L171&lt;&gt;"",L171,""))</f>
        <v/>
      </c>
      <c r="AB171" s="36" t="str">
        <f aca="false">IF(Q171&lt;&gt;"",Q171,IF(M171&lt;&gt;"",M171,""))</f>
        <v/>
      </c>
    </row>
    <row r="172" customFormat="false" ht="15" hidden="false" customHeight="false" outlineLevel="0" collapsed="false">
      <c r="A172" s="9"/>
      <c r="B172" s="9"/>
      <c r="C172" s="26"/>
      <c r="D172" s="9"/>
      <c r="E172" s="9"/>
      <c r="F172" s="9"/>
      <c r="G172" s="27"/>
      <c r="H172" s="28"/>
      <c r="I172" s="28"/>
      <c r="J172" s="29" t="str">
        <f aca="false">IF(OR(H172="",I172="",I172=0),"",H172/I172)</f>
        <v/>
      </c>
      <c r="K172" s="30"/>
      <c r="L172" s="28"/>
      <c r="M172" s="28"/>
      <c r="N172" s="29" t="str">
        <f aca="false">IF(OR(L172="",M172="",M172=0),"",L172/M172)</f>
        <v/>
      </c>
      <c r="O172" s="30"/>
      <c r="P172" s="28"/>
      <c r="Q172" s="28"/>
      <c r="R172" s="29" t="str">
        <f aca="false">IF(OR(P172="",Q172="",Q172=0),"",P172/Q172)</f>
        <v/>
      </c>
      <c r="S172" s="30"/>
      <c r="T172" s="31" t="str">
        <f aca="false">IF(OR(AA172="",H172="",H172=0),"",AA172/H172-1)</f>
        <v/>
      </c>
      <c r="U172" s="31" t="str">
        <f aca="false">IF(OR(AB172="",I172="",I172=0),"",AB172/I172-1)</f>
        <v/>
      </c>
      <c r="V172" s="32" t="str">
        <f aca="false">IF(OR(J172="",IF(R172&lt;&gt;"",R172,N172)=""),"",(IF(R172&lt;&gt;"",R172,N172)-J172)*100)</f>
        <v/>
      </c>
      <c r="W172" s="33" t="str">
        <f aca="false">IF(OR(K172="",IF(S172&lt;&gt;"",S172,O172)=""),"",K172-IF(S172&lt;&gt;"",S172,O172))</f>
        <v/>
      </c>
      <c r="X172" s="34" t="str">
        <f aca="false">IF(F172="","",IF(E172="Redirected (301)",IF(AA172="","Pending","Redirected – see target"),IF(OR(AA172="",H172=""),"Pending",IF(H172=0,IF(AA172&gt;0,"Win","Neutral"),IF(AA172&gt;=H172*(1+'How to use'!$C$15),"Win",IF(AA172&lt;=H172*(1+'How to use'!$C$16),"Loss","Neutral"))))))</f>
        <v/>
      </c>
      <c r="Y172" s="35" t="str">
        <f aca="false">IF(OR(F172="",C172=""),"",IF(P172&lt;&gt;"","Done",IF(L172&lt;&gt;"",C172+'How to use'!$C$19+'How to use'!$C$17,C172+'How to use'!$C$18+'How to use'!$C$17)))</f>
        <v/>
      </c>
      <c r="Z172" s="9"/>
      <c r="AA172" s="36" t="str">
        <f aca="false">IF(P172&lt;&gt;"",P172,IF(L172&lt;&gt;"",L172,""))</f>
        <v/>
      </c>
      <c r="AB172" s="36" t="str">
        <f aca="false">IF(Q172&lt;&gt;"",Q172,IF(M172&lt;&gt;"",M172,""))</f>
        <v/>
      </c>
    </row>
    <row r="173" customFormat="false" ht="15" hidden="false" customHeight="false" outlineLevel="0" collapsed="false">
      <c r="A173" s="9"/>
      <c r="B173" s="9"/>
      <c r="C173" s="26"/>
      <c r="D173" s="9"/>
      <c r="E173" s="9"/>
      <c r="F173" s="9"/>
      <c r="G173" s="27"/>
      <c r="H173" s="28"/>
      <c r="I173" s="28"/>
      <c r="J173" s="29" t="str">
        <f aca="false">IF(OR(H173="",I173="",I173=0),"",H173/I173)</f>
        <v/>
      </c>
      <c r="K173" s="30"/>
      <c r="L173" s="28"/>
      <c r="M173" s="28"/>
      <c r="N173" s="29" t="str">
        <f aca="false">IF(OR(L173="",M173="",M173=0),"",L173/M173)</f>
        <v/>
      </c>
      <c r="O173" s="30"/>
      <c r="P173" s="28"/>
      <c r="Q173" s="28"/>
      <c r="R173" s="29" t="str">
        <f aca="false">IF(OR(P173="",Q173="",Q173=0),"",P173/Q173)</f>
        <v/>
      </c>
      <c r="S173" s="30"/>
      <c r="T173" s="31" t="str">
        <f aca="false">IF(OR(AA173="",H173="",H173=0),"",AA173/H173-1)</f>
        <v/>
      </c>
      <c r="U173" s="31" t="str">
        <f aca="false">IF(OR(AB173="",I173="",I173=0),"",AB173/I173-1)</f>
        <v/>
      </c>
      <c r="V173" s="32" t="str">
        <f aca="false">IF(OR(J173="",IF(R173&lt;&gt;"",R173,N173)=""),"",(IF(R173&lt;&gt;"",R173,N173)-J173)*100)</f>
        <v/>
      </c>
      <c r="W173" s="33" t="str">
        <f aca="false">IF(OR(K173="",IF(S173&lt;&gt;"",S173,O173)=""),"",K173-IF(S173&lt;&gt;"",S173,O173))</f>
        <v/>
      </c>
      <c r="X173" s="34" t="str">
        <f aca="false">IF(F173="","",IF(E173="Redirected (301)",IF(AA173="","Pending","Redirected – see target"),IF(OR(AA173="",H173=""),"Pending",IF(H173=0,IF(AA173&gt;0,"Win","Neutral"),IF(AA173&gt;=H173*(1+'How to use'!$C$15),"Win",IF(AA173&lt;=H173*(1+'How to use'!$C$16),"Loss","Neutral"))))))</f>
        <v/>
      </c>
      <c r="Y173" s="35" t="str">
        <f aca="false">IF(OR(F173="",C173=""),"",IF(P173&lt;&gt;"","Done",IF(L173&lt;&gt;"",C173+'How to use'!$C$19+'How to use'!$C$17,C173+'How to use'!$C$18+'How to use'!$C$17)))</f>
        <v/>
      </c>
      <c r="Z173" s="9"/>
      <c r="AA173" s="36" t="str">
        <f aca="false">IF(P173&lt;&gt;"",P173,IF(L173&lt;&gt;"",L173,""))</f>
        <v/>
      </c>
      <c r="AB173" s="36" t="str">
        <f aca="false">IF(Q173&lt;&gt;"",Q173,IF(M173&lt;&gt;"",M173,""))</f>
        <v/>
      </c>
    </row>
    <row r="174" customFormat="false" ht="15" hidden="false" customHeight="false" outlineLevel="0" collapsed="false">
      <c r="A174" s="9"/>
      <c r="B174" s="9"/>
      <c r="C174" s="26"/>
      <c r="D174" s="9"/>
      <c r="E174" s="9"/>
      <c r="F174" s="9"/>
      <c r="G174" s="27"/>
      <c r="H174" s="28"/>
      <c r="I174" s="28"/>
      <c r="J174" s="29" t="str">
        <f aca="false">IF(OR(H174="",I174="",I174=0),"",H174/I174)</f>
        <v/>
      </c>
      <c r="K174" s="30"/>
      <c r="L174" s="28"/>
      <c r="M174" s="28"/>
      <c r="N174" s="29" t="str">
        <f aca="false">IF(OR(L174="",M174="",M174=0),"",L174/M174)</f>
        <v/>
      </c>
      <c r="O174" s="30"/>
      <c r="P174" s="28"/>
      <c r="Q174" s="28"/>
      <c r="R174" s="29" t="str">
        <f aca="false">IF(OR(P174="",Q174="",Q174=0),"",P174/Q174)</f>
        <v/>
      </c>
      <c r="S174" s="30"/>
      <c r="T174" s="31" t="str">
        <f aca="false">IF(OR(AA174="",H174="",H174=0),"",AA174/H174-1)</f>
        <v/>
      </c>
      <c r="U174" s="31" t="str">
        <f aca="false">IF(OR(AB174="",I174="",I174=0),"",AB174/I174-1)</f>
        <v/>
      </c>
      <c r="V174" s="32" t="str">
        <f aca="false">IF(OR(J174="",IF(R174&lt;&gt;"",R174,N174)=""),"",(IF(R174&lt;&gt;"",R174,N174)-J174)*100)</f>
        <v/>
      </c>
      <c r="W174" s="33" t="str">
        <f aca="false">IF(OR(K174="",IF(S174&lt;&gt;"",S174,O174)=""),"",K174-IF(S174&lt;&gt;"",S174,O174))</f>
        <v/>
      </c>
      <c r="X174" s="34" t="str">
        <f aca="false">IF(F174="","",IF(E174="Redirected (301)",IF(AA174="","Pending","Redirected – see target"),IF(OR(AA174="",H174=""),"Pending",IF(H174=0,IF(AA174&gt;0,"Win","Neutral"),IF(AA174&gt;=H174*(1+'How to use'!$C$15),"Win",IF(AA174&lt;=H174*(1+'How to use'!$C$16),"Loss","Neutral"))))))</f>
        <v/>
      </c>
      <c r="Y174" s="35" t="str">
        <f aca="false">IF(OR(F174="",C174=""),"",IF(P174&lt;&gt;"","Done",IF(L174&lt;&gt;"",C174+'How to use'!$C$19+'How to use'!$C$17,C174+'How to use'!$C$18+'How to use'!$C$17)))</f>
        <v/>
      </c>
      <c r="Z174" s="9"/>
      <c r="AA174" s="36" t="str">
        <f aca="false">IF(P174&lt;&gt;"",P174,IF(L174&lt;&gt;"",L174,""))</f>
        <v/>
      </c>
      <c r="AB174" s="36" t="str">
        <f aca="false">IF(Q174&lt;&gt;"",Q174,IF(M174&lt;&gt;"",M174,""))</f>
        <v/>
      </c>
    </row>
    <row r="175" customFormat="false" ht="15" hidden="false" customHeight="false" outlineLevel="0" collapsed="false">
      <c r="A175" s="9"/>
      <c r="B175" s="9"/>
      <c r="C175" s="26"/>
      <c r="D175" s="9"/>
      <c r="E175" s="9"/>
      <c r="F175" s="9"/>
      <c r="G175" s="27"/>
      <c r="H175" s="28"/>
      <c r="I175" s="28"/>
      <c r="J175" s="29" t="str">
        <f aca="false">IF(OR(H175="",I175="",I175=0),"",H175/I175)</f>
        <v/>
      </c>
      <c r="K175" s="30"/>
      <c r="L175" s="28"/>
      <c r="M175" s="28"/>
      <c r="N175" s="29" t="str">
        <f aca="false">IF(OR(L175="",M175="",M175=0),"",L175/M175)</f>
        <v/>
      </c>
      <c r="O175" s="30"/>
      <c r="P175" s="28"/>
      <c r="Q175" s="28"/>
      <c r="R175" s="29" t="str">
        <f aca="false">IF(OR(P175="",Q175="",Q175=0),"",P175/Q175)</f>
        <v/>
      </c>
      <c r="S175" s="30"/>
      <c r="T175" s="31" t="str">
        <f aca="false">IF(OR(AA175="",H175="",H175=0),"",AA175/H175-1)</f>
        <v/>
      </c>
      <c r="U175" s="31" t="str">
        <f aca="false">IF(OR(AB175="",I175="",I175=0),"",AB175/I175-1)</f>
        <v/>
      </c>
      <c r="V175" s="32" t="str">
        <f aca="false">IF(OR(J175="",IF(R175&lt;&gt;"",R175,N175)=""),"",(IF(R175&lt;&gt;"",R175,N175)-J175)*100)</f>
        <v/>
      </c>
      <c r="W175" s="33" t="str">
        <f aca="false">IF(OR(K175="",IF(S175&lt;&gt;"",S175,O175)=""),"",K175-IF(S175&lt;&gt;"",S175,O175))</f>
        <v/>
      </c>
      <c r="X175" s="34" t="str">
        <f aca="false">IF(F175="","",IF(E175="Redirected (301)",IF(AA175="","Pending","Redirected – see target"),IF(OR(AA175="",H175=""),"Pending",IF(H175=0,IF(AA175&gt;0,"Win","Neutral"),IF(AA175&gt;=H175*(1+'How to use'!$C$15),"Win",IF(AA175&lt;=H175*(1+'How to use'!$C$16),"Loss","Neutral"))))))</f>
        <v/>
      </c>
      <c r="Y175" s="35" t="str">
        <f aca="false">IF(OR(F175="",C175=""),"",IF(P175&lt;&gt;"","Done",IF(L175&lt;&gt;"",C175+'How to use'!$C$19+'How to use'!$C$17,C175+'How to use'!$C$18+'How to use'!$C$17)))</f>
        <v/>
      </c>
      <c r="Z175" s="9"/>
      <c r="AA175" s="36" t="str">
        <f aca="false">IF(P175&lt;&gt;"",P175,IF(L175&lt;&gt;"",L175,""))</f>
        <v/>
      </c>
      <c r="AB175" s="36" t="str">
        <f aca="false">IF(Q175&lt;&gt;"",Q175,IF(M175&lt;&gt;"",M175,""))</f>
        <v/>
      </c>
    </row>
    <row r="176" customFormat="false" ht="15" hidden="false" customHeight="false" outlineLevel="0" collapsed="false">
      <c r="A176" s="9"/>
      <c r="B176" s="9"/>
      <c r="C176" s="26"/>
      <c r="D176" s="9"/>
      <c r="E176" s="9"/>
      <c r="F176" s="9"/>
      <c r="G176" s="27"/>
      <c r="H176" s="28"/>
      <c r="I176" s="28"/>
      <c r="J176" s="29" t="str">
        <f aca="false">IF(OR(H176="",I176="",I176=0),"",H176/I176)</f>
        <v/>
      </c>
      <c r="K176" s="30"/>
      <c r="L176" s="28"/>
      <c r="M176" s="28"/>
      <c r="N176" s="29" t="str">
        <f aca="false">IF(OR(L176="",M176="",M176=0),"",L176/M176)</f>
        <v/>
      </c>
      <c r="O176" s="30"/>
      <c r="P176" s="28"/>
      <c r="Q176" s="28"/>
      <c r="R176" s="29" t="str">
        <f aca="false">IF(OR(P176="",Q176="",Q176=0),"",P176/Q176)</f>
        <v/>
      </c>
      <c r="S176" s="30"/>
      <c r="T176" s="31" t="str">
        <f aca="false">IF(OR(AA176="",H176="",H176=0),"",AA176/H176-1)</f>
        <v/>
      </c>
      <c r="U176" s="31" t="str">
        <f aca="false">IF(OR(AB176="",I176="",I176=0),"",AB176/I176-1)</f>
        <v/>
      </c>
      <c r="V176" s="32" t="str">
        <f aca="false">IF(OR(J176="",IF(R176&lt;&gt;"",R176,N176)=""),"",(IF(R176&lt;&gt;"",R176,N176)-J176)*100)</f>
        <v/>
      </c>
      <c r="W176" s="33" t="str">
        <f aca="false">IF(OR(K176="",IF(S176&lt;&gt;"",S176,O176)=""),"",K176-IF(S176&lt;&gt;"",S176,O176))</f>
        <v/>
      </c>
      <c r="X176" s="34" t="str">
        <f aca="false">IF(F176="","",IF(E176="Redirected (301)",IF(AA176="","Pending","Redirected – see target"),IF(OR(AA176="",H176=""),"Pending",IF(H176=0,IF(AA176&gt;0,"Win","Neutral"),IF(AA176&gt;=H176*(1+'How to use'!$C$15),"Win",IF(AA176&lt;=H176*(1+'How to use'!$C$16),"Loss","Neutral"))))))</f>
        <v/>
      </c>
      <c r="Y176" s="35" t="str">
        <f aca="false">IF(OR(F176="",C176=""),"",IF(P176&lt;&gt;"","Done",IF(L176&lt;&gt;"",C176+'How to use'!$C$19+'How to use'!$C$17,C176+'How to use'!$C$18+'How to use'!$C$17)))</f>
        <v/>
      </c>
      <c r="Z176" s="9"/>
      <c r="AA176" s="36" t="str">
        <f aca="false">IF(P176&lt;&gt;"",P176,IF(L176&lt;&gt;"",L176,""))</f>
        <v/>
      </c>
      <c r="AB176" s="36" t="str">
        <f aca="false">IF(Q176&lt;&gt;"",Q176,IF(M176&lt;&gt;"",M176,""))</f>
        <v/>
      </c>
    </row>
    <row r="177" customFormat="false" ht="15" hidden="false" customHeight="false" outlineLevel="0" collapsed="false">
      <c r="A177" s="9"/>
      <c r="B177" s="9"/>
      <c r="C177" s="26"/>
      <c r="D177" s="9"/>
      <c r="E177" s="9"/>
      <c r="F177" s="9"/>
      <c r="G177" s="27"/>
      <c r="H177" s="28"/>
      <c r="I177" s="28"/>
      <c r="J177" s="29" t="str">
        <f aca="false">IF(OR(H177="",I177="",I177=0),"",H177/I177)</f>
        <v/>
      </c>
      <c r="K177" s="30"/>
      <c r="L177" s="28"/>
      <c r="M177" s="28"/>
      <c r="N177" s="29" t="str">
        <f aca="false">IF(OR(L177="",M177="",M177=0),"",L177/M177)</f>
        <v/>
      </c>
      <c r="O177" s="30"/>
      <c r="P177" s="28"/>
      <c r="Q177" s="28"/>
      <c r="R177" s="29" t="str">
        <f aca="false">IF(OR(P177="",Q177="",Q177=0),"",P177/Q177)</f>
        <v/>
      </c>
      <c r="S177" s="30"/>
      <c r="T177" s="31" t="str">
        <f aca="false">IF(OR(AA177="",H177="",H177=0),"",AA177/H177-1)</f>
        <v/>
      </c>
      <c r="U177" s="31" t="str">
        <f aca="false">IF(OR(AB177="",I177="",I177=0),"",AB177/I177-1)</f>
        <v/>
      </c>
      <c r="V177" s="32" t="str">
        <f aca="false">IF(OR(J177="",IF(R177&lt;&gt;"",R177,N177)=""),"",(IF(R177&lt;&gt;"",R177,N177)-J177)*100)</f>
        <v/>
      </c>
      <c r="W177" s="33" t="str">
        <f aca="false">IF(OR(K177="",IF(S177&lt;&gt;"",S177,O177)=""),"",K177-IF(S177&lt;&gt;"",S177,O177))</f>
        <v/>
      </c>
      <c r="X177" s="34" t="str">
        <f aca="false">IF(F177="","",IF(E177="Redirected (301)",IF(AA177="","Pending","Redirected – see target"),IF(OR(AA177="",H177=""),"Pending",IF(H177=0,IF(AA177&gt;0,"Win","Neutral"),IF(AA177&gt;=H177*(1+'How to use'!$C$15),"Win",IF(AA177&lt;=H177*(1+'How to use'!$C$16),"Loss","Neutral"))))))</f>
        <v/>
      </c>
      <c r="Y177" s="35" t="str">
        <f aca="false">IF(OR(F177="",C177=""),"",IF(P177&lt;&gt;"","Done",IF(L177&lt;&gt;"",C177+'How to use'!$C$19+'How to use'!$C$17,C177+'How to use'!$C$18+'How to use'!$C$17)))</f>
        <v/>
      </c>
      <c r="Z177" s="9"/>
      <c r="AA177" s="36" t="str">
        <f aca="false">IF(P177&lt;&gt;"",P177,IF(L177&lt;&gt;"",L177,""))</f>
        <v/>
      </c>
      <c r="AB177" s="36" t="str">
        <f aca="false">IF(Q177&lt;&gt;"",Q177,IF(M177&lt;&gt;"",M177,""))</f>
        <v/>
      </c>
    </row>
    <row r="178" customFormat="false" ht="15" hidden="false" customHeight="false" outlineLevel="0" collapsed="false">
      <c r="A178" s="9"/>
      <c r="B178" s="9"/>
      <c r="C178" s="26"/>
      <c r="D178" s="9"/>
      <c r="E178" s="9"/>
      <c r="F178" s="9"/>
      <c r="G178" s="27"/>
      <c r="H178" s="28"/>
      <c r="I178" s="28"/>
      <c r="J178" s="29" t="str">
        <f aca="false">IF(OR(H178="",I178="",I178=0),"",H178/I178)</f>
        <v/>
      </c>
      <c r="K178" s="30"/>
      <c r="L178" s="28"/>
      <c r="M178" s="28"/>
      <c r="N178" s="29" t="str">
        <f aca="false">IF(OR(L178="",M178="",M178=0),"",L178/M178)</f>
        <v/>
      </c>
      <c r="O178" s="30"/>
      <c r="P178" s="28"/>
      <c r="Q178" s="28"/>
      <c r="R178" s="29" t="str">
        <f aca="false">IF(OR(P178="",Q178="",Q178=0),"",P178/Q178)</f>
        <v/>
      </c>
      <c r="S178" s="30"/>
      <c r="T178" s="31" t="str">
        <f aca="false">IF(OR(AA178="",H178="",H178=0),"",AA178/H178-1)</f>
        <v/>
      </c>
      <c r="U178" s="31" t="str">
        <f aca="false">IF(OR(AB178="",I178="",I178=0),"",AB178/I178-1)</f>
        <v/>
      </c>
      <c r="V178" s="32" t="str">
        <f aca="false">IF(OR(J178="",IF(R178&lt;&gt;"",R178,N178)=""),"",(IF(R178&lt;&gt;"",R178,N178)-J178)*100)</f>
        <v/>
      </c>
      <c r="W178" s="33" t="str">
        <f aca="false">IF(OR(K178="",IF(S178&lt;&gt;"",S178,O178)=""),"",K178-IF(S178&lt;&gt;"",S178,O178))</f>
        <v/>
      </c>
      <c r="X178" s="34" t="str">
        <f aca="false">IF(F178="","",IF(E178="Redirected (301)",IF(AA178="","Pending","Redirected – see target"),IF(OR(AA178="",H178=""),"Pending",IF(H178=0,IF(AA178&gt;0,"Win","Neutral"),IF(AA178&gt;=H178*(1+'How to use'!$C$15),"Win",IF(AA178&lt;=H178*(1+'How to use'!$C$16),"Loss","Neutral"))))))</f>
        <v/>
      </c>
      <c r="Y178" s="35" t="str">
        <f aca="false">IF(OR(F178="",C178=""),"",IF(P178&lt;&gt;"","Done",IF(L178&lt;&gt;"",C178+'How to use'!$C$19+'How to use'!$C$17,C178+'How to use'!$C$18+'How to use'!$C$17)))</f>
        <v/>
      </c>
      <c r="Z178" s="9"/>
      <c r="AA178" s="36" t="str">
        <f aca="false">IF(P178&lt;&gt;"",P178,IF(L178&lt;&gt;"",L178,""))</f>
        <v/>
      </c>
      <c r="AB178" s="36" t="str">
        <f aca="false">IF(Q178&lt;&gt;"",Q178,IF(M178&lt;&gt;"",M178,""))</f>
        <v/>
      </c>
    </row>
    <row r="179" customFormat="false" ht="15" hidden="false" customHeight="false" outlineLevel="0" collapsed="false">
      <c r="A179" s="9"/>
      <c r="B179" s="9"/>
      <c r="C179" s="26"/>
      <c r="D179" s="9"/>
      <c r="E179" s="9"/>
      <c r="F179" s="9"/>
      <c r="G179" s="27"/>
      <c r="H179" s="28"/>
      <c r="I179" s="28"/>
      <c r="J179" s="29" t="str">
        <f aca="false">IF(OR(H179="",I179="",I179=0),"",H179/I179)</f>
        <v/>
      </c>
      <c r="K179" s="30"/>
      <c r="L179" s="28"/>
      <c r="M179" s="28"/>
      <c r="N179" s="29" t="str">
        <f aca="false">IF(OR(L179="",M179="",M179=0),"",L179/M179)</f>
        <v/>
      </c>
      <c r="O179" s="30"/>
      <c r="P179" s="28"/>
      <c r="Q179" s="28"/>
      <c r="R179" s="29" t="str">
        <f aca="false">IF(OR(P179="",Q179="",Q179=0),"",P179/Q179)</f>
        <v/>
      </c>
      <c r="S179" s="30"/>
      <c r="T179" s="31" t="str">
        <f aca="false">IF(OR(AA179="",H179="",H179=0),"",AA179/H179-1)</f>
        <v/>
      </c>
      <c r="U179" s="31" t="str">
        <f aca="false">IF(OR(AB179="",I179="",I179=0),"",AB179/I179-1)</f>
        <v/>
      </c>
      <c r="V179" s="32" t="str">
        <f aca="false">IF(OR(J179="",IF(R179&lt;&gt;"",R179,N179)=""),"",(IF(R179&lt;&gt;"",R179,N179)-J179)*100)</f>
        <v/>
      </c>
      <c r="W179" s="33" t="str">
        <f aca="false">IF(OR(K179="",IF(S179&lt;&gt;"",S179,O179)=""),"",K179-IF(S179&lt;&gt;"",S179,O179))</f>
        <v/>
      </c>
      <c r="X179" s="34" t="str">
        <f aca="false">IF(F179="","",IF(E179="Redirected (301)",IF(AA179="","Pending","Redirected – see target"),IF(OR(AA179="",H179=""),"Pending",IF(H179=0,IF(AA179&gt;0,"Win","Neutral"),IF(AA179&gt;=H179*(1+'How to use'!$C$15),"Win",IF(AA179&lt;=H179*(1+'How to use'!$C$16),"Loss","Neutral"))))))</f>
        <v/>
      </c>
      <c r="Y179" s="35" t="str">
        <f aca="false">IF(OR(F179="",C179=""),"",IF(P179&lt;&gt;"","Done",IF(L179&lt;&gt;"",C179+'How to use'!$C$19+'How to use'!$C$17,C179+'How to use'!$C$18+'How to use'!$C$17)))</f>
        <v/>
      </c>
      <c r="Z179" s="9"/>
      <c r="AA179" s="36" t="str">
        <f aca="false">IF(P179&lt;&gt;"",P179,IF(L179&lt;&gt;"",L179,""))</f>
        <v/>
      </c>
      <c r="AB179" s="36" t="str">
        <f aca="false">IF(Q179&lt;&gt;"",Q179,IF(M179&lt;&gt;"",M179,""))</f>
        <v/>
      </c>
    </row>
    <row r="180" customFormat="false" ht="15" hidden="false" customHeight="false" outlineLevel="0" collapsed="false">
      <c r="A180" s="9"/>
      <c r="B180" s="9"/>
      <c r="C180" s="26"/>
      <c r="D180" s="9"/>
      <c r="E180" s="9"/>
      <c r="F180" s="9"/>
      <c r="G180" s="27"/>
      <c r="H180" s="28"/>
      <c r="I180" s="28"/>
      <c r="J180" s="29" t="str">
        <f aca="false">IF(OR(H180="",I180="",I180=0),"",H180/I180)</f>
        <v/>
      </c>
      <c r="K180" s="30"/>
      <c r="L180" s="28"/>
      <c r="M180" s="28"/>
      <c r="N180" s="29" t="str">
        <f aca="false">IF(OR(L180="",M180="",M180=0),"",L180/M180)</f>
        <v/>
      </c>
      <c r="O180" s="30"/>
      <c r="P180" s="28"/>
      <c r="Q180" s="28"/>
      <c r="R180" s="29" t="str">
        <f aca="false">IF(OR(P180="",Q180="",Q180=0),"",P180/Q180)</f>
        <v/>
      </c>
      <c r="S180" s="30"/>
      <c r="T180" s="31" t="str">
        <f aca="false">IF(OR(AA180="",H180="",H180=0),"",AA180/H180-1)</f>
        <v/>
      </c>
      <c r="U180" s="31" t="str">
        <f aca="false">IF(OR(AB180="",I180="",I180=0),"",AB180/I180-1)</f>
        <v/>
      </c>
      <c r="V180" s="32" t="str">
        <f aca="false">IF(OR(J180="",IF(R180&lt;&gt;"",R180,N180)=""),"",(IF(R180&lt;&gt;"",R180,N180)-J180)*100)</f>
        <v/>
      </c>
      <c r="W180" s="33" t="str">
        <f aca="false">IF(OR(K180="",IF(S180&lt;&gt;"",S180,O180)=""),"",K180-IF(S180&lt;&gt;"",S180,O180))</f>
        <v/>
      </c>
      <c r="X180" s="34" t="str">
        <f aca="false">IF(F180="","",IF(E180="Redirected (301)",IF(AA180="","Pending","Redirected – see target"),IF(OR(AA180="",H180=""),"Pending",IF(H180=0,IF(AA180&gt;0,"Win","Neutral"),IF(AA180&gt;=H180*(1+'How to use'!$C$15),"Win",IF(AA180&lt;=H180*(1+'How to use'!$C$16),"Loss","Neutral"))))))</f>
        <v/>
      </c>
      <c r="Y180" s="35" t="str">
        <f aca="false">IF(OR(F180="",C180=""),"",IF(P180&lt;&gt;"","Done",IF(L180&lt;&gt;"",C180+'How to use'!$C$19+'How to use'!$C$17,C180+'How to use'!$C$18+'How to use'!$C$17)))</f>
        <v/>
      </c>
      <c r="Z180" s="9"/>
      <c r="AA180" s="36" t="str">
        <f aca="false">IF(P180&lt;&gt;"",P180,IF(L180&lt;&gt;"",L180,""))</f>
        <v/>
      </c>
      <c r="AB180" s="36" t="str">
        <f aca="false">IF(Q180&lt;&gt;"",Q180,IF(M180&lt;&gt;"",M180,""))</f>
        <v/>
      </c>
    </row>
    <row r="181" customFormat="false" ht="15" hidden="false" customHeight="false" outlineLevel="0" collapsed="false">
      <c r="A181" s="9"/>
      <c r="B181" s="9"/>
      <c r="C181" s="26"/>
      <c r="D181" s="9"/>
      <c r="E181" s="9"/>
      <c r="F181" s="9"/>
      <c r="G181" s="27"/>
      <c r="H181" s="28"/>
      <c r="I181" s="28"/>
      <c r="J181" s="29" t="str">
        <f aca="false">IF(OR(H181="",I181="",I181=0),"",H181/I181)</f>
        <v/>
      </c>
      <c r="K181" s="30"/>
      <c r="L181" s="28"/>
      <c r="M181" s="28"/>
      <c r="N181" s="29" t="str">
        <f aca="false">IF(OR(L181="",M181="",M181=0),"",L181/M181)</f>
        <v/>
      </c>
      <c r="O181" s="30"/>
      <c r="P181" s="28"/>
      <c r="Q181" s="28"/>
      <c r="R181" s="29" t="str">
        <f aca="false">IF(OR(P181="",Q181="",Q181=0),"",P181/Q181)</f>
        <v/>
      </c>
      <c r="S181" s="30"/>
      <c r="T181" s="31" t="str">
        <f aca="false">IF(OR(AA181="",H181="",H181=0),"",AA181/H181-1)</f>
        <v/>
      </c>
      <c r="U181" s="31" t="str">
        <f aca="false">IF(OR(AB181="",I181="",I181=0),"",AB181/I181-1)</f>
        <v/>
      </c>
      <c r="V181" s="32" t="str">
        <f aca="false">IF(OR(J181="",IF(R181&lt;&gt;"",R181,N181)=""),"",(IF(R181&lt;&gt;"",R181,N181)-J181)*100)</f>
        <v/>
      </c>
      <c r="W181" s="33" t="str">
        <f aca="false">IF(OR(K181="",IF(S181&lt;&gt;"",S181,O181)=""),"",K181-IF(S181&lt;&gt;"",S181,O181))</f>
        <v/>
      </c>
      <c r="X181" s="34" t="str">
        <f aca="false">IF(F181="","",IF(E181="Redirected (301)",IF(AA181="","Pending","Redirected – see target"),IF(OR(AA181="",H181=""),"Pending",IF(H181=0,IF(AA181&gt;0,"Win","Neutral"),IF(AA181&gt;=H181*(1+'How to use'!$C$15),"Win",IF(AA181&lt;=H181*(1+'How to use'!$C$16),"Loss","Neutral"))))))</f>
        <v/>
      </c>
      <c r="Y181" s="35" t="str">
        <f aca="false">IF(OR(F181="",C181=""),"",IF(P181&lt;&gt;"","Done",IF(L181&lt;&gt;"",C181+'How to use'!$C$19+'How to use'!$C$17,C181+'How to use'!$C$18+'How to use'!$C$17)))</f>
        <v/>
      </c>
      <c r="Z181" s="9"/>
      <c r="AA181" s="36" t="str">
        <f aca="false">IF(P181&lt;&gt;"",P181,IF(L181&lt;&gt;"",L181,""))</f>
        <v/>
      </c>
      <c r="AB181" s="36" t="str">
        <f aca="false">IF(Q181&lt;&gt;"",Q181,IF(M181&lt;&gt;"",M181,""))</f>
        <v/>
      </c>
    </row>
    <row r="182" customFormat="false" ht="15" hidden="false" customHeight="false" outlineLevel="0" collapsed="false">
      <c r="A182" s="9"/>
      <c r="B182" s="9"/>
      <c r="C182" s="26"/>
      <c r="D182" s="9"/>
      <c r="E182" s="9"/>
      <c r="F182" s="9"/>
      <c r="G182" s="27"/>
      <c r="H182" s="28"/>
      <c r="I182" s="28"/>
      <c r="J182" s="29" t="str">
        <f aca="false">IF(OR(H182="",I182="",I182=0),"",H182/I182)</f>
        <v/>
      </c>
      <c r="K182" s="30"/>
      <c r="L182" s="28"/>
      <c r="M182" s="28"/>
      <c r="N182" s="29" t="str">
        <f aca="false">IF(OR(L182="",M182="",M182=0),"",L182/M182)</f>
        <v/>
      </c>
      <c r="O182" s="30"/>
      <c r="P182" s="28"/>
      <c r="Q182" s="28"/>
      <c r="R182" s="29" t="str">
        <f aca="false">IF(OR(P182="",Q182="",Q182=0),"",P182/Q182)</f>
        <v/>
      </c>
      <c r="S182" s="30"/>
      <c r="T182" s="31" t="str">
        <f aca="false">IF(OR(AA182="",H182="",H182=0),"",AA182/H182-1)</f>
        <v/>
      </c>
      <c r="U182" s="31" t="str">
        <f aca="false">IF(OR(AB182="",I182="",I182=0),"",AB182/I182-1)</f>
        <v/>
      </c>
      <c r="V182" s="32" t="str">
        <f aca="false">IF(OR(J182="",IF(R182&lt;&gt;"",R182,N182)=""),"",(IF(R182&lt;&gt;"",R182,N182)-J182)*100)</f>
        <v/>
      </c>
      <c r="W182" s="33" t="str">
        <f aca="false">IF(OR(K182="",IF(S182&lt;&gt;"",S182,O182)=""),"",K182-IF(S182&lt;&gt;"",S182,O182))</f>
        <v/>
      </c>
      <c r="X182" s="34" t="str">
        <f aca="false">IF(F182="","",IF(E182="Redirected (301)",IF(AA182="","Pending","Redirected – see target"),IF(OR(AA182="",H182=""),"Pending",IF(H182=0,IF(AA182&gt;0,"Win","Neutral"),IF(AA182&gt;=H182*(1+'How to use'!$C$15),"Win",IF(AA182&lt;=H182*(1+'How to use'!$C$16),"Loss","Neutral"))))))</f>
        <v/>
      </c>
      <c r="Y182" s="35" t="str">
        <f aca="false">IF(OR(F182="",C182=""),"",IF(P182&lt;&gt;"","Done",IF(L182&lt;&gt;"",C182+'How to use'!$C$19+'How to use'!$C$17,C182+'How to use'!$C$18+'How to use'!$C$17)))</f>
        <v/>
      </c>
      <c r="Z182" s="9"/>
      <c r="AA182" s="36" t="str">
        <f aca="false">IF(P182&lt;&gt;"",P182,IF(L182&lt;&gt;"",L182,""))</f>
        <v/>
      </c>
      <c r="AB182" s="36" t="str">
        <f aca="false">IF(Q182&lt;&gt;"",Q182,IF(M182&lt;&gt;"",M182,""))</f>
        <v/>
      </c>
    </row>
    <row r="183" customFormat="false" ht="15" hidden="false" customHeight="false" outlineLevel="0" collapsed="false">
      <c r="A183" s="9"/>
      <c r="B183" s="9"/>
      <c r="C183" s="26"/>
      <c r="D183" s="9"/>
      <c r="E183" s="9"/>
      <c r="F183" s="9"/>
      <c r="G183" s="27"/>
      <c r="H183" s="28"/>
      <c r="I183" s="28"/>
      <c r="J183" s="29" t="str">
        <f aca="false">IF(OR(H183="",I183="",I183=0),"",H183/I183)</f>
        <v/>
      </c>
      <c r="K183" s="30"/>
      <c r="L183" s="28"/>
      <c r="M183" s="28"/>
      <c r="N183" s="29" t="str">
        <f aca="false">IF(OR(L183="",M183="",M183=0),"",L183/M183)</f>
        <v/>
      </c>
      <c r="O183" s="30"/>
      <c r="P183" s="28"/>
      <c r="Q183" s="28"/>
      <c r="R183" s="29" t="str">
        <f aca="false">IF(OR(P183="",Q183="",Q183=0),"",P183/Q183)</f>
        <v/>
      </c>
      <c r="S183" s="30"/>
      <c r="T183" s="31" t="str">
        <f aca="false">IF(OR(AA183="",H183="",H183=0),"",AA183/H183-1)</f>
        <v/>
      </c>
      <c r="U183" s="31" t="str">
        <f aca="false">IF(OR(AB183="",I183="",I183=0),"",AB183/I183-1)</f>
        <v/>
      </c>
      <c r="V183" s="32" t="str">
        <f aca="false">IF(OR(J183="",IF(R183&lt;&gt;"",R183,N183)=""),"",(IF(R183&lt;&gt;"",R183,N183)-J183)*100)</f>
        <v/>
      </c>
      <c r="W183" s="33" t="str">
        <f aca="false">IF(OR(K183="",IF(S183&lt;&gt;"",S183,O183)=""),"",K183-IF(S183&lt;&gt;"",S183,O183))</f>
        <v/>
      </c>
      <c r="X183" s="34" t="str">
        <f aca="false">IF(F183="","",IF(E183="Redirected (301)",IF(AA183="","Pending","Redirected – see target"),IF(OR(AA183="",H183=""),"Pending",IF(H183=0,IF(AA183&gt;0,"Win","Neutral"),IF(AA183&gt;=H183*(1+'How to use'!$C$15),"Win",IF(AA183&lt;=H183*(1+'How to use'!$C$16),"Loss","Neutral"))))))</f>
        <v/>
      </c>
      <c r="Y183" s="35" t="str">
        <f aca="false">IF(OR(F183="",C183=""),"",IF(P183&lt;&gt;"","Done",IF(L183&lt;&gt;"",C183+'How to use'!$C$19+'How to use'!$C$17,C183+'How to use'!$C$18+'How to use'!$C$17)))</f>
        <v/>
      </c>
      <c r="Z183" s="9"/>
      <c r="AA183" s="36" t="str">
        <f aca="false">IF(P183&lt;&gt;"",P183,IF(L183&lt;&gt;"",L183,""))</f>
        <v/>
      </c>
      <c r="AB183" s="36" t="str">
        <f aca="false">IF(Q183&lt;&gt;"",Q183,IF(M183&lt;&gt;"",M183,""))</f>
        <v/>
      </c>
    </row>
    <row r="184" customFormat="false" ht="15" hidden="false" customHeight="false" outlineLevel="0" collapsed="false">
      <c r="A184" s="9"/>
      <c r="B184" s="9"/>
      <c r="C184" s="26"/>
      <c r="D184" s="9"/>
      <c r="E184" s="9"/>
      <c r="F184" s="9"/>
      <c r="G184" s="27"/>
      <c r="H184" s="28"/>
      <c r="I184" s="28"/>
      <c r="J184" s="29" t="str">
        <f aca="false">IF(OR(H184="",I184="",I184=0),"",H184/I184)</f>
        <v/>
      </c>
      <c r="K184" s="30"/>
      <c r="L184" s="28"/>
      <c r="M184" s="28"/>
      <c r="N184" s="29" t="str">
        <f aca="false">IF(OR(L184="",M184="",M184=0),"",L184/M184)</f>
        <v/>
      </c>
      <c r="O184" s="30"/>
      <c r="P184" s="28"/>
      <c r="Q184" s="28"/>
      <c r="R184" s="29" t="str">
        <f aca="false">IF(OR(P184="",Q184="",Q184=0),"",P184/Q184)</f>
        <v/>
      </c>
      <c r="S184" s="30"/>
      <c r="T184" s="31" t="str">
        <f aca="false">IF(OR(AA184="",H184="",H184=0),"",AA184/H184-1)</f>
        <v/>
      </c>
      <c r="U184" s="31" t="str">
        <f aca="false">IF(OR(AB184="",I184="",I184=0),"",AB184/I184-1)</f>
        <v/>
      </c>
      <c r="V184" s="32" t="str">
        <f aca="false">IF(OR(J184="",IF(R184&lt;&gt;"",R184,N184)=""),"",(IF(R184&lt;&gt;"",R184,N184)-J184)*100)</f>
        <v/>
      </c>
      <c r="W184" s="33" t="str">
        <f aca="false">IF(OR(K184="",IF(S184&lt;&gt;"",S184,O184)=""),"",K184-IF(S184&lt;&gt;"",S184,O184))</f>
        <v/>
      </c>
      <c r="X184" s="34" t="str">
        <f aca="false">IF(F184="","",IF(E184="Redirected (301)",IF(AA184="","Pending","Redirected – see target"),IF(OR(AA184="",H184=""),"Pending",IF(H184=0,IF(AA184&gt;0,"Win","Neutral"),IF(AA184&gt;=H184*(1+'How to use'!$C$15),"Win",IF(AA184&lt;=H184*(1+'How to use'!$C$16),"Loss","Neutral"))))))</f>
        <v/>
      </c>
      <c r="Y184" s="35" t="str">
        <f aca="false">IF(OR(F184="",C184=""),"",IF(P184&lt;&gt;"","Done",IF(L184&lt;&gt;"",C184+'How to use'!$C$19+'How to use'!$C$17,C184+'How to use'!$C$18+'How to use'!$C$17)))</f>
        <v/>
      </c>
      <c r="Z184" s="9"/>
      <c r="AA184" s="36" t="str">
        <f aca="false">IF(P184&lt;&gt;"",P184,IF(L184&lt;&gt;"",L184,""))</f>
        <v/>
      </c>
      <c r="AB184" s="36" t="str">
        <f aca="false">IF(Q184&lt;&gt;"",Q184,IF(M184&lt;&gt;"",M184,""))</f>
        <v/>
      </c>
    </row>
    <row r="185" customFormat="false" ht="15" hidden="false" customHeight="false" outlineLevel="0" collapsed="false">
      <c r="A185" s="9"/>
      <c r="B185" s="9"/>
      <c r="C185" s="26"/>
      <c r="D185" s="9"/>
      <c r="E185" s="9"/>
      <c r="F185" s="9"/>
      <c r="G185" s="27"/>
      <c r="H185" s="28"/>
      <c r="I185" s="28"/>
      <c r="J185" s="29" t="str">
        <f aca="false">IF(OR(H185="",I185="",I185=0),"",H185/I185)</f>
        <v/>
      </c>
      <c r="K185" s="30"/>
      <c r="L185" s="28"/>
      <c r="M185" s="28"/>
      <c r="N185" s="29" t="str">
        <f aca="false">IF(OR(L185="",M185="",M185=0),"",L185/M185)</f>
        <v/>
      </c>
      <c r="O185" s="30"/>
      <c r="P185" s="28"/>
      <c r="Q185" s="28"/>
      <c r="R185" s="29" t="str">
        <f aca="false">IF(OR(P185="",Q185="",Q185=0),"",P185/Q185)</f>
        <v/>
      </c>
      <c r="S185" s="30"/>
      <c r="T185" s="31" t="str">
        <f aca="false">IF(OR(AA185="",H185="",H185=0),"",AA185/H185-1)</f>
        <v/>
      </c>
      <c r="U185" s="31" t="str">
        <f aca="false">IF(OR(AB185="",I185="",I185=0),"",AB185/I185-1)</f>
        <v/>
      </c>
      <c r="V185" s="32" t="str">
        <f aca="false">IF(OR(J185="",IF(R185&lt;&gt;"",R185,N185)=""),"",(IF(R185&lt;&gt;"",R185,N185)-J185)*100)</f>
        <v/>
      </c>
      <c r="W185" s="33" t="str">
        <f aca="false">IF(OR(K185="",IF(S185&lt;&gt;"",S185,O185)=""),"",K185-IF(S185&lt;&gt;"",S185,O185))</f>
        <v/>
      </c>
      <c r="X185" s="34" t="str">
        <f aca="false">IF(F185="","",IF(E185="Redirected (301)",IF(AA185="","Pending","Redirected – see target"),IF(OR(AA185="",H185=""),"Pending",IF(H185=0,IF(AA185&gt;0,"Win","Neutral"),IF(AA185&gt;=H185*(1+'How to use'!$C$15),"Win",IF(AA185&lt;=H185*(1+'How to use'!$C$16),"Loss","Neutral"))))))</f>
        <v/>
      </c>
      <c r="Y185" s="35" t="str">
        <f aca="false">IF(OR(F185="",C185=""),"",IF(P185&lt;&gt;"","Done",IF(L185&lt;&gt;"",C185+'How to use'!$C$19+'How to use'!$C$17,C185+'How to use'!$C$18+'How to use'!$C$17)))</f>
        <v/>
      </c>
      <c r="Z185" s="9"/>
      <c r="AA185" s="36" t="str">
        <f aca="false">IF(P185&lt;&gt;"",P185,IF(L185&lt;&gt;"",L185,""))</f>
        <v/>
      </c>
      <c r="AB185" s="36" t="str">
        <f aca="false">IF(Q185&lt;&gt;"",Q185,IF(M185&lt;&gt;"",M185,""))</f>
        <v/>
      </c>
    </row>
    <row r="186" customFormat="false" ht="15" hidden="false" customHeight="false" outlineLevel="0" collapsed="false">
      <c r="A186" s="9"/>
      <c r="B186" s="9"/>
      <c r="C186" s="26"/>
      <c r="D186" s="9"/>
      <c r="E186" s="9"/>
      <c r="F186" s="9"/>
      <c r="G186" s="27"/>
      <c r="H186" s="28"/>
      <c r="I186" s="28"/>
      <c r="J186" s="29" t="str">
        <f aca="false">IF(OR(H186="",I186="",I186=0),"",H186/I186)</f>
        <v/>
      </c>
      <c r="K186" s="30"/>
      <c r="L186" s="28"/>
      <c r="M186" s="28"/>
      <c r="N186" s="29" t="str">
        <f aca="false">IF(OR(L186="",M186="",M186=0),"",L186/M186)</f>
        <v/>
      </c>
      <c r="O186" s="30"/>
      <c r="P186" s="28"/>
      <c r="Q186" s="28"/>
      <c r="R186" s="29" t="str">
        <f aca="false">IF(OR(P186="",Q186="",Q186=0),"",P186/Q186)</f>
        <v/>
      </c>
      <c r="S186" s="30"/>
      <c r="T186" s="31" t="str">
        <f aca="false">IF(OR(AA186="",H186="",H186=0),"",AA186/H186-1)</f>
        <v/>
      </c>
      <c r="U186" s="31" t="str">
        <f aca="false">IF(OR(AB186="",I186="",I186=0),"",AB186/I186-1)</f>
        <v/>
      </c>
      <c r="V186" s="32" t="str">
        <f aca="false">IF(OR(J186="",IF(R186&lt;&gt;"",R186,N186)=""),"",(IF(R186&lt;&gt;"",R186,N186)-J186)*100)</f>
        <v/>
      </c>
      <c r="W186" s="33" t="str">
        <f aca="false">IF(OR(K186="",IF(S186&lt;&gt;"",S186,O186)=""),"",K186-IF(S186&lt;&gt;"",S186,O186))</f>
        <v/>
      </c>
      <c r="X186" s="34" t="str">
        <f aca="false">IF(F186="","",IF(E186="Redirected (301)",IF(AA186="","Pending","Redirected – see target"),IF(OR(AA186="",H186=""),"Pending",IF(H186=0,IF(AA186&gt;0,"Win","Neutral"),IF(AA186&gt;=H186*(1+'How to use'!$C$15),"Win",IF(AA186&lt;=H186*(1+'How to use'!$C$16),"Loss","Neutral"))))))</f>
        <v/>
      </c>
      <c r="Y186" s="35" t="str">
        <f aca="false">IF(OR(F186="",C186=""),"",IF(P186&lt;&gt;"","Done",IF(L186&lt;&gt;"",C186+'How to use'!$C$19+'How to use'!$C$17,C186+'How to use'!$C$18+'How to use'!$C$17)))</f>
        <v/>
      </c>
      <c r="Z186" s="9"/>
      <c r="AA186" s="36" t="str">
        <f aca="false">IF(P186&lt;&gt;"",P186,IF(L186&lt;&gt;"",L186,""))</f>
        <v/>
      </c>
      <c r="AB186" s="36" t="str">
        <f aca="false">IF(Q186&lt;&gt;"",Q186,IF(M186&lt;&gt;"",M186,""))</f>
        <v/>
      </c>
    </row>
    <row r="187" customFormat="false" ht="15" hidden="false" customHeight="false" outlineLevel="0" collapsed="false">
      <c r="A187" s="9"/>
      <c r="B187" s="9"/>
      <c r="C187" s="26"/>
      <c r="D187" s="9"/>
      <c r="E187" s="9"/>
      <c r="F187" s="9"/>
      <c r="G187" s="27"/>
      <c r="H187" s="28"/>
      <c r="I187" s="28"/>
      <c r="J187" s="29" t="str">
        <f aca="false">IF(OR(H187="",I187="",I187=0),"",H187/I187)</f>
        <v/>
      </c>
      <c r="K187" s="30"/>
      <c r="L187" s="28"/>
      <c r="M187" s="28"/>
      <c r="N187" s="29" t="str">
        <f aca="false">IF(OR(L187="",M187="",M187=0),"",L187/M187)</f>
        <v/>
      </c>
      <c r="O187" s="30"/>
      <c r="P187" s="28"/>
      <c r="Q187" s="28"/>
      <c r="R187" s="29" t="str">
        <f aca="false">IF(OR(P187="",Q187="",Q187=0),"",P187/Q187)</f>
        <v/>
      </c>
      <c r="S187" s="30"/>
      <c r="T187" s="31" t="str">
        <f aca="false">IF(OR(AA187="",H187="",H187=0),"",AA187/H187-1)</f>
        <v/>
      </c>
      <c r="U187" s="31" t="str">
        <f aca="false">IF(OR(AB187="",I187="",I187=0),"",AB187/I187-1)</f>
        <v/>
      </c>
      <c r="V187" s="32" t="str">
        <f aca="false">IF(OR(J187="",IF(R187&lt;&gt;"",R187,N187)=""),"",(IF(R187&lt;&gt;"",R187,N187)-J187)*100)</f>
        <v/>
      </c>
      <c r="W187" s="33" t="str">
        <f aca="false">IF(OR(K187="",IF(S187&lt;&gt;"",S187,O187)=""),"",K187-IF(S187&lt;&gt;"",S187,O187))</f>
        <v/>
      </c>
      <c r="X187" s="34" t="str">
        <f aca="false">IF(F187="","",IF(E187="Redirected (301)",IF(AA187="","Pending","Redirected – see target"),IF(OR(AA187="",H187=""),"Pending",IF(H187=0,IF(AA187&gt;0,"Win","Neutral"),IF(AA187&gt;=H187*(1+'How to use'!$C$15),"Win",IF(AA187&lt;=H187*(1+'How to use'!$C$16),"Loss","Neutral"))))))</f>
        <v/>
      </c>
      <c r="Y187" s="35" t="str">
        <f aca="false">IF(OR(F187="",C187=""),"",IF(P187&lt;&gt;"","Done",IF(L187&lt;&gt;"",C187+'How to use'!$C$19+'How to use'!$C$17,C187+'How to use'!$C$18+'How to use'!$C$17)))</f>
        <v/>
      </c>
      <c r="Z187" s="9"/>
      <c r="AA187" s="36" t="str">
        <f aca="false">IF(P187&lt;&gt;"",P187,IF(L187&lt;&gt;"",L187,""))</f>
        <v/>
      </c>
      <c r="AB187" s="36" t="str">
        <f aca="false">IF(Q187&lt;&gt;"",Q187,IF(M187&lt;&gt;"",M187,""))</f>
        <v/>
      </c>
    </row>
    <row r="188" customFormat="false" ht="15" hidden="false" customHeight="false" outlineLevel="0" collapsed="false">
      <c r="A188" s="9"/>
      <c r="B188" s="9"/>
      <c r="C188" s="26"/>
      <c r="D188" s="9"/>
      <c r="E188" s="9"/>
      <c r="F188" s="9"/>
      <c r="G188" s="27"/>
      <c r="H188" s="28"/>
      <c r="I188" s="28"/>
      <c r="J188" s="29" t="str">
        <f aca="false">IF(OR(H188="",I188="",I188=0),"",H188/I188)</f>
        <v/>
      </c>
      <c r="K188" s="30"/>
      <c r="L188" s="28"/>
      <c r="M188" s="28"/>
      <c r="N188" s="29" t="str">
        <f aca="false">IF(OR(L188="",M188="",M188=0),"",L188/M188)</f>
        <v/>
      </c>
      <c r="O188" s="30"/>
      <c r="P188" s="28"/>
      <c r="Q188" s="28"/>
      <c r="R188" s="29" t="str">
        <f aca="false">IF(OR(P188="",Q188="",Q188=0),"",P188/Q188)</f>
        <v/>
      </c>
      <c r="S188" s="30"/>
      <c r="T188" s="31" t="str">
        <f aca="false">IF(OR(AA188="",H188="",H188=0),"",AA188/H188-1)</f>
        <v/>
      </c>
      <c r="U188" s="31" t="str">
        <f aca="false">IF(OR(AB188="",I188="",I188=0),"",AB188/I188-1)</f>
        <v/>
      </c>
      <c r="V188" s="32" t="str">
        <f aca="false">IF(OR(J188="",IF(R188&lt;&gt;"",R188,N188)=""),"",(IF(R188&lt;&gt;"",R188,N188)-J188)*100)</f>
        <v/>
      </c>
      <c r="W188" s="33" t="str">
        <f aca="false">IF(OR(K188="",IF(S188&lt;&gt;"",S188,O188)=""),"",K188-IF(S188&lt;&gt;"",S188,O188))</f>
        <v/>
      </c>
      <c r="X188" s="34" t="str">
        <f aca="false">IF(F188="","",IF(E188="Redirected (301)",IF(AA188="","Pending","Redirected – see target"),IF(OR(AA188="",H188=""),"Pending",IF(H188=0,IF(AA188&gt;0,"Win","Neutral"),IF(AA188&gt;=H188*(1+'How to use'!$C$15),"Win",IF(AA188&lt;=H188*(1+'How to use'!$C$16),"Loss","Neutral"))))))</f>
        <v/>
      </c>
      <c r="Y188" s="35" t="str">
        <f aca="false">IF(OR(F188="",C188=""),"",IF(P188&lt;&gt;"","Done",IF(L188&lt;&gt;"",C188+'How to use'!$C$19+'How to use'!$C$17,C188+'How to use'!$C$18+'How to use'!$C$17)))</f>
        <v/>
      </c>
      <c r="Z188" s="9"/>
      <c r="AA188" s="36" t="str">
        <f aca="false">IF(P188&lt;&gt;"",P188,IF(L188&lt;&gt;"",L188,""))</f>
        <v/>
      </c>
      <c r="AB188" s="36" t="str">
        <f aca="false">IF(Q188&lt;&gt;"",Q188,IF(M188&lt;&gt;"",M188,""))</f>
        <v/>
      </c>
    </row>
    <row r="189" customFormat="false" ht="15" hidden="false" customHeight="false" outlineLevel="0" collapsed="false">
      <c r="A189" s="9"/>
      <c r="B189" s="9"/>
      <c r="C189" s="26"/>
      <c r="D189" s="9"/>
      <c r="E189" s="9"/>
      <c r="F189" s="9"/>
      <c r="G189" s="27"/>
      <c r="H189" s="28"/>
      <c r="I189" s="28"/>
      <c r="J189" s="29" t="str">
        <f aca="false">IF(OR(H189="",I189="",I189=0),"",H189/I189)</f>
        <v/>
      </c>
      <c r="K189" s="30"/>
      <c r="L189" s="28"/>
      <c r="M189" s="28"/>
      <c r="N189" s="29" t="str">
        <f aca="false">IF(OR(L189="",M189="",M189=0),"",L189/M189)</f>
        <v/>
      </c>
      <c r="O189" s="30"/>
      <c r="P189" s="28"/>
      <c r="Q189" s="28"/>
      <c r="R189" s="29" t="str">
        <f aca="false">IF(OR(P189="",Q189="",Q189=0),"",P189/Q189)</f>
        <v/>
      </c>
      <c r="S189" s="30"/>
      <c r="T189" s="31" t="str">
        <f aca="false">IF(OR(AA189="",H189="",H189=0),"",AA189/H189-1)</f>
        <v/>
      </c>
      <c r="U189" s="31" t="str">
        <f aca="false">IF(OR(AB189="",I189="",I189=0),"",AB189/I189-1)</f>
        <v/>
      </c>
      <c r="V189" s="32" t="str">
        <f aca="false">IF(OR(J189="",IF(R189&lt;&gt;"",R189,N189)=""),"",(IF(R189&lt;&gt;"",R189,N189)-J189)*100)</f>
        <v/>
      </c>
      <c r="W189" s="33" t="str">
        <f aca="false">IF(OR(K189="",IF(S189&lt;&gt;"",S189,O189)=""),"",K189-IF(S189&lt;&gt;"",S189,O189))</f>
        <v/>
      </c>
      <c r="X189" s="34" t="str">
        <f aca="false">IF(F189="","",IF(E189="Redirected (301)",IF(AA189="","Pending","Redirected – see target"),IF(OR(AA189="",H189=""),"Pending",IF(H189=0,IF(AA189&gt;0,"Win","Neutral"),IF(AA189&gt;=H189*(1+'How to use'!$C$15),"Win",IF(AA189&lt;=H189*(1+'How to use'!$C$16),"Loss","Neutral"))))))</f>
        <v/>
      </c>
      <c r="Y189" s="35" t="str">
        <f aca="false">IF(OR(F189="",C189=""),"",IF(P189&lt;&gt;"","Done",IF(L189&lt;&gt;"",C189+'How to use'!$C$19+'How to use'!$C$17,C189+'How to use'!$C$18+'How to use'!$C$17)))</f>
        <v/>
      </c>
      <c r="Z189" s="9"/>
      <c r="AA189" s="36" t="str">
        <f aca="false">IF(P189&lt;&gt;"",P189,IF(L189&lt;&gt;"",L189,""))</f>
        <v/>
      </c>
      <c r="AB189" s="36" t="str">
        <f aca="false">IF(Q189&lt;&gt;"",Q189,IF(M189&lt;&gt;"",M189,""))</f>
        <v/>
      </c>
    </row>
    <row r="190" customFormat="false" ht="15" hidden="false" customHeight="false" outlineLevel="0" collapsed="false">
      <c r="A190" s="9"/>
      <c r="B190" s="9"/>
      <c r="C190" s="26"/>
      <c r="D190" s="9"/>
      <c r="E190" s="9"/>
      <c r="F190" s="9"/>
      <c r="G190" s="27"/>
      <c r="H190" s="28"/>
      <c r="I190" s="28"/>
      <c r="J190" s="29" t="str">
        <f aca="false">IF(OR(H190="",I190="",I190=0),"",H190/I190)</f>
        <v/>
      </c>
      <c r="K190" s="30"/>
      <c r="L190" s="28"/>
      <c r="M190" s="28"/>
      <c r="N190" s="29" t="str">
        <f aca="false">IF(OR(L190="",M190="",M190=0),"",L190/M190)</f>
        <v/>
      </c>
      <c r="O190" s="30"/>
      <c r="P190" s="28"/>
      <c r="Q190" s="28"/>
      <c r="R190" s="29" t="str">
        <f aca="false">IF(OR(P190="",Q190="",Q190=0),"",P190/Q190)</f>
        <v/>
      </c>
      <c r="S190" s="30"/>
      <c r="T190" s="31" t="str">
        <f aca="false">IF(OR(AA190="",H190="",H190=0),"",AA190/H190-1)</f>
        <v/>
      </c>
      <c r="U190" s="31" t="str">
        <f aca="false">IF(OR(AB190="",I190="",I190=0),"",AB190/I190-1)</f>
        <v/>
      </c>
      <c r="V190" s="32" t="str">
        <f aca="false">IF(OR(J190="",IF(R190&lt;&gt;"",R190,N190)=""),"",(IF(R190&lt;&gt;"",R190,N190)-J190)*100)</f>
        <v/>
      </c>
      <c r="W190" s="33" t="str">
        <f aca="false">IF(OR(K190="",IF(S190&lt;&gt;"",S190,O190)=""),"",K190-IF(S190&lt;&gt;"",S190,O190))</f>
        <v/>
      </c>
      <c r="X190" s="34" t="str">
        <f aca="false">IF(F190="","",IF(E190="Redirected (301)",IF(AA190="","Pending","Redirected – see target"),IF(OR(AA190="",H190=""),"Pending",IF(H190=0,IF(AA190&gt;0,"Win","Neutral"),IF(AA190&gt;=H190*(1+'How to use'!$C$15),"Win",IF(AA190&lt;=H190*(1+'How to use'!$C$16),"Loss","Neutral"))))))</f>
        <v/>
      </c>
      <c r="Y190" s="35" t="str">
        <f aca="false">IF(OR(F190="",C190=""),"",IF(P190&lt;&gt;"","Done",IF(L190&lt;&gt;"",C190+'How to use'!$C$19+'How to use'!$C$17,C190+'How to use'!$C$18+'How to use'!$C$17)))</f>
        <v/>
      </c>
      <c r="Z190" s="9"/>
      <c r="AA190" s="36" t="str">
        <f aca="false">IF(P190&lt;&gt;"",P190,IF(L190&lt;&gt;"",L190,""))</f>
        <v/>
      </c>
      <c r="AB190" s="36" t="str">
        <f aca="false">IF(Q190&lt;&gt;"",Q190,IF(M190&lt;&gt;"",M190,""))</f>
        <v/>
      </c>
    </row>
    <row r="191" customFormat="false" ht="15" hidden="false" customHeight="false" outlineLevel="0" collapsed="false">
      <c r="A191" s="9"/>
      <c r="B191" s="9"/>
      <c r="C191" s="26"/>
      <c r="D191" s="9"/>
      <c r="E191" s="9"/>
      <c r="F191" s="9"/>
      <c r="G191" s="27"/>
      <c r="H191" s="28"/>
      <c r="I191" s="28"/>
      <c r="J191" s="29" t="str">
        <f aca="false">IF(OR(H191="",I191="",I191=0),"",H191/I191)</f>
        <v/>
      </c>
      <c r="K191" s="30"/>
      <c r="L191" s="28"/>
      <c r="M191" s="28"/>
      <c r="N191" s="29" t="str">
        <f aca="false">IF(OR(L191="",M191="",M191=0),"",L191/M191)</f>
        <v/>
      </c>
      <c r="O191" s="30"/>
      <c r="P191" s="28"/>
      <c r="Q191" s="28"/>
      <c r="R191" s="29" t="str">
        <f aca="false">IF(OR(P191="",Q191="",Q191=0),"",P191/Q191)</f>
        <v/>
      </c>
      <c r="S191" s="30"/>
      <c r="T191" s="31" t="str">
        <f aca="false">IF(OR(AA191="",H191="",H191=0),"",AA191/H191-1)</f>
        <v/>
      </c>
      <c r="U191" s="31" t="str">
        <f aca="false">IF(OR(AB191="",I191="",I191=0),"",AB191/I191-1)</f>
        <v/>
      </c>
      <c r="V191" s="32" t="str">
        <f aca="false">IF(OR(J191="",IF(R191&lt;&gt;"",R191,N191)=""),"",(IF(R191&lt;&gt;"",R191,N191)-J191)*100)</f>
        <v/>
      </c>
      <c r="W191" s="33" t="str">
        <f aca="false">IF(OR(K191="",IF(S191&lt;&gt;"",S191,O191)=""),"",K191-IF(S191&lt;&gt;"",S191,O191))</f>
        <v/>
      </c>
      <c r="X191" s="34" t="str">
        <f aca="false">IF(F191="","",IF(E191="Redirected (301)",IF(AA191="","Pending","Redirected – see target"),IF(OR(AA191="",H191=""),"Pending",IF(H191=0,IF(AA191&gt;0,"Win","Neutral"),IF(AA191&gt;=H191*(1+'How to use'!$C$15),"Win",IF(AA191&lt;=H191*(1+'How to use'!$C$16),"Loss","Neutral"))))))</f>
        <v/>
      </c>
      <c r="Y191" s="35" t="str">
        <f aca="false">IF(OR(F191="",C191=""),"",IF(P191&lt;&gt;"","Done",IF(L191&lt;&gt;"",C191+'How to use'!$C$19+'How to use'!$C$17,C191+'How to use'!$C$18+'How to use'!$C$17)))</f>
        <v/>
      </c>
      <c r="Z191" s="9"/>
      <c r="AA191" s="36" t="str">
        <f aca="false">IF(P191&lt;&gt;"",P191,IF(L191&lt;&gt;"",L191,""))</f>
        <v/>
      </c>
      <c r="AB191" s="36" t="str">
        <f aca="false">IF(Q191&lt;&gt;"",Q191,IF(M191&lt;&gt;"",M191,""))</f>
        <v/>
      </c>
    </row>
    <row r="192" customFormat="false" ht="15" hidden="false" customHeight="false" outlineLevel="0" collapsed="false">
      <c r="A192" s="9"/>
      <c r="B192" s="9"/>
      <c r="C192" s="26"/>
      <c r="D192" s="9"/>
      <c r="E192" s="9"/>
      <c r="F192" s="9"/>
      <c r="G192" s="27"/>
      <c r="H192" s="28"/>
      <c r="I192" s="28"/>
      <c r="J192" s="29" t="str">
        <f aca="false">IF(OR(H192="",I192="",I192=0),"",H192/I192)</f>
        <v/>
      </c>
      <c r="K192" s="30"/>
      <c r="L192" s="28"/>
      <c r="M192" s="28"/>
      <c r="N192" s="29" t="str">
        <f aca="false">IF(OR(L192="",M192="",M192=0),"",L192/M192)</f>
        <v/>
      </c>
      <c r="O192" s="30"/>
      <c r="P192" s="28"/>
      <c r="Q192" s="28"/>
      <c r="R192" s="29" t="str">
        <f aca="false">IF(OR(P192="",Q192="",Q192=0),"",P192/Q192)</f>
        <v/>
      </c>
      <c r="S192" s="30"/>
      <c r="T192" s="31" t="str">
        <f aca="false">IF(OR(AA192="",H192="",H192=0),"",AA192/H192-1)</f>
        <v/>
      </c>
      <c r="U192" s="31" t="str">
        <f aca="false">IF(OR(AB192="",I192="",I192=0),"",AB192/I192-1)</f>
        <v/>
      </c>
      <c r="V192" s="32" t="str">
        <f aca="false">IF(OR(J192="",IF(R192&lt;&gt;"",R192,N192)=""),"",(IF(R192&lt;&gt;"",R192,N192)-J192)*100)</f>
        <v/>
      </c>
      <c r="W192" s="33" t="str">
        <f aca="false">IF(OR(K192="",IF(S192&lt;&gt;"",S192,O192)=""),"",K192-IF(S192&lt;&gt;"",S192,O192))</f>
        <v/>
      </c>
      <c r="X192" s="34" t="str">
        <f aca="false">IF(F192="","",IF(E192="Redirected (301)",IF(AA192="","Pending","Redirected – see target"),IF(OR(AA192="",H192=""),"Pending",IF(H192=0,IF(AA192&gt;0,"Win","Neutral"),IF(AA192&gt;=H192*(1+'How to use'!$C$15),"Win",IF(AA192&lt;=H192*(1+'How to use'!$C$16),"Loss","Neutral"))))))</f>
        <v/>
      </c>
      <c r="Y192" s="35" t="str">
        <f aca="false">IF(OR(F192="",C192=""),"",IF(P192&lt;&gt;"","Done",IF(L192&lt;&gt;"",C192+'How to use'!$C$19+'How to use'!$C$17,C192+'How to use'!$C$18+'How to use'!$C$17)))</f>
        <v/>
      </c>
      <c r="Z192" s="9"/>
      <c r="AA192" s="36" t="str">
        <f aca="false">IF(P192&lt;&gt;"",P192,IF(L192&lt;&gt;"",L192,""))</f>
        <v/>
      </c>
      <c r="AB192" s="36" t="str">
        <f aca="false">IF(Q192&lt;&gt;"",Q192,IF(M192&lt;&gt;"",M192,""))</f>
        <v/>
      </c>
    </row>
    <row r="193" customFormat="false" ht="15" hidden="false" customHeight="false" outlineLevel="0" collapsed="false">
      <c r="A193" s="9"/>
      <c r="B193" s="9"/>
      <c r="C193" s="26"/>
      <c r="D193" s="9"/>
      <c r="E193" s="9"/>
      <c r="F193" s="9"/>
      <c r="G193" s="27"/>
      <c r="H193" s="28"/>
      <c r="I193" s="28"/>
      <c r="J193" s="29" t="str">
        <f aca="false">IF(OR(H193="",I193="",I193=0),"",H193/I193)</f>
        <v/>
      </c>
      <c r="K193" s="30"/>
      <c r="L193" s="28"/>
      <c r="M193" s="28"/>
      <c r="N193" s="29" t="str">
        <f aca="false">IF(OR(L193="",M193="",M193=0),"",L193/M193)</f>
        <v/>
      </c>
      <c r="O193" s="30"/>
      <c r="P193" s="28"/>
      <c r="Q193" s="28"/>
      <c r="R193" s="29" t="str">
        <f aca="false">IF(OR(P193="",Q193="",Q193=0),"",P193/Q193)</f>
        <v/>
      </c>
      <c r="S193" s="30"/>
      <c r="T193" s="31" t="str">
        <f aca="false">IF(OR(AA193="",H193="",H193=0),"",AA193/H193-1)</f>
        <v/>
      </c>
      <c r="U193" s="31" t="str">
        <f aca="false">IF(OR(AB193="",I193="",I193=0),"",AB193/I193-1)</f>
        <v/>
      </c>
      <c r="V193" s="32" t="str">
        <f aca="false">IF(OR(J193="",IF(R193&lt;&gt;"",R193,N193)=""),"",(IF(R193&lt;&gt;"",R193,N193)-J193)*100)</f>
        <v/>
      </c>
      <c r="W193" s="33" t="str">
        <f aca="false">IF(OR(K193="",IF(S193&lt;&gt;"",S193,O193)=""),"",K193-IF(S193&lt;&gt;"",S193,O193))</f>
        <v/>
      </c>
      <c r="X193" s="34" t="str">
        <f aca="false">IF(F193="","",IF(E193="Redirected (301)",IF(AA193="","Pending","Redirected – see target"),IF(OR(AA193="",H193=""),"Pending",IF(H193=0,IF(AA193&gt;0,"Win","Neutral"),IF(AA193&gt;=H193*(1+'How to use'!$C$15),"Win",IF(AA193&lt;=H193*(1+'How to use'!$C$16),"Loss","Neutral"))))))</f>
        <v/>
      </c>
      <c r="Y193" s="35" t="str">
        <f aca="false">IF(OR(F193="",C193=""),"",IF(P193&lt;&gt;"","Done",IF(L193&lt;&gt;"",C193+'How to use'!$C$19+'How to use'!$C$17,C193+'How to use'!$C$18+'How to use'!$C$17)))</f>
        <v/>
      </c>
      <c r="Z193" s="9"/>
      <c r="AA193" s="36" t="str">
        <f aca="false">IF(P193&lt;&gt;"",P193,IF(L193&lt;&gt;"",L193,""))</f>
        <v/>
      </c>
      <c r="AB193" s="36" t="str">
        <f aca="false">IF(Q193&lt;&gt;"",Q193,IF(M193&lt;&gt;"",M193,""))</f>
        <v/>
      </c>
    </row>
    <row r="194" customFormat="false" ht="15" hidden="false" customHeight="false" outlineLevel="0" collapsed="false">
      <c r="A194" s="9"/>
      <c r="B194" s="9"/>
      <c r="C194" s="26"/>
      <c r="D194" s="9"/>
      <c r="E194" s="9"/>
      <c r="F194" s="9"/>
      <c r="G194" s="27"/>
      <c r="H194" s="28"/>
      <c r="I194" s="28"/>
      <c r="J194" s="29" t="str">
        <f aca="false">IF(OR(H194="",I194="",I194=0),"",H194/I194)</f>
        <v/>
      </c>
      <c r="K194" s="30"/>
      <c r="L194" s="28"/>
      <c r="M194" s="28"/>
      <c r="N194" s="29" t="str">
        <f aca="false">IF(OR(L194="",M194="",M194=0),"",L194/M194)</f>
        <v/>
      </c>
      <c r="O194" s="30"/>
      <c r="P194" s="28"/>
      <c r="Q194" s="28"/>
      <c r="R194" s="29" t="str">
        <f aca="false">IF(OR(P194="",Q194="",Q194=0),"",P194/Q194)</f>
        <v/>
      </c>
      <c r="S194" s="30"/>
      <c r="T194" s="31" t="str">
        <f aca="false">IF(OR(AA194="",H194="",H194=0),"",AA194/H194-1)</f>
        <v/>
      </c>
      <c r="U194" s="31" t="str">
        <f aca="false">IF(OR(AB194="",I194="",I194=0),"",AB194/I194-1)</f>
        <v/>
      </c>
      <c r="V194" s="32" t="str">
        <f aca="false">IF(OR(J194="",IF(R194&lt;&gt;"",R194,N194)=""),"",(IF(R194&lt;&gt;"",R194,N194)-J194)*100)</f>
        <v/>
      </c>
      <c r="W194" s="33" t="str">
        <f aca="false">IF(OR(K194="",IF(S194&lt;&gt;"",S194,O194)=""),"",K194-IF(S194&lt;&gt;"",S194,O194))</f>
        <v/>
      </c>
      <c r="X194" s="34" t="str">
        <f aca="false">IF(F194="","",IF(E194="Redirected (301)",IF(AA194="","Pending","Redirected – see target"),IF(OR(AA194="",H194=""),"Pending",IF(H194=0,IF(AA194&gt;0,"Win","Neutral"),IF(AA194&gt;=H194*(1+'How to use'!$C$15),"Win",IF(AA194&lt;=H194*(1+'How to use'!$C$16),"Loss","Neutral"))))))</f>
        <v/>
      </c>
      <c r="Y194" s="35" t="str">
        <f aca="false">IF(OR(F194="",C194=""),"",IF(P194&lt;&gt;"","Done",IF(L194&lt;&gt;"",C194+'How to use'!$C$19+'How to use'!$C$17,C194+'How to use'!$C$18+'How to use'!$C$17)))</f>
        <v/>
      </c>
      <c r="Z194" s="9"/>
      <c r="AA194" s="36" t="str">
        <f aca="false">IF(P194&lt;&gt;"",P194,IF(L194&lt;&gt;"",L194,""))</f>
        <v/>
      </c>
      <c r="AB194" s="36" t="str">
        <f aca="false">IF(Q194&lt;&gt;"",Q194,IF(M194&lt;&gt;"",M194,""))</f>
        <v/>
      </c>
    </row>
    <row r="195" customFormat="false" ht="15" hidden="false" customHeight="false" outlineLevel="0" collapsed="false">
      <c r="A195" s="9"/>
      <c r="B195" s="9"/>
      <c r="C195" s="26"/>
      <c r="D195" s="9"/>
      <c r="E195" s="9"/>
      <c r="F195" s="9"/>
      <c r="G195" s="27"/>
      <c r="H195" s="28"/>
      <c r="I195" s="28"/>
      <c r="J195" s="29" t="str">
        <f aca="false">IF(OR(H195="",I195="",I195=0),"",H195/I195)</f>
        <v/>
      </c>
      <c r="K195" s="30"/>
      <c r="L195" s="28"/>
      <c r="M195" s="28"/>
      <c r="N195" s="29" t="str">
        <f aca="false">IF(OR(L195="",M195="",M195=0),"",L195/M195)</f>
        <v/>
      </c>
      <c r="O195" s="30"/>
      <c r="P195" s="28"/>
      <c r="Q195" s="28"/>
      <c r="R195" s="29" t="str">
        <f aca="false">IF(OR(P195="",Q195="",Q195=0),"",P195/Q195)</f>
        <v/>
      </c>
      <c r="S195" s="30"/>
      <c r="T195" s="31" t="str">
        <f aca="false">IF(OR(AA195="",H195="",H195=0),"",AA195/H195-1)</f>
        <v/>
      </c>
      <c r="U195" s="31" t="str">
        <f aca="false">IF(OR(AB195="",I195="",I195=0),"",AB195/I195-1)</f>
        <v/>
      </c>
      <c r="V195" s="32" t="str">
        <f aca="false">IF(OR(J195="",IF(R195&lt;&gt;"",R195,N195)=""),"",(IF(R195&lt;&gt;"",R195,N195)-J195)*100)</f>
        <v/>
      </c>
      <c r="W195" s="33" t="str">
        <f aca="false">IF(OR(K195="",IF(S195&lt;&gt;"",S195,O195)=""),"",K195-IF(S195&lt;&gt;"",S195,O195))</f>
        <v/>
      </c>
      <c r="X195" s="34" t="str">
        <f aca="false">IF(F195="","",IF(E195="Redirected (301)",IF(AA195="","Pending","Redirected – see target"),IF(OR(AA195="",H195=""),"Pending",IF(H195=0,IF(AA195&gt;0,"Win","Neutral"),IF(AA195&gt;=H195*(1+'How to use'!$C$15),"Win",IF(AA195&lt;=H195*(1+'How to use'!$C$16),"Loss","Neutral"))))))</f>
        <v/>
      </c>
      <c r="Y195" s="35" t="str">
        <f aca="false">IF(OR(F195="",C195=""),"",IF(P195&lt;&gt;"","Done",IF(L195&lt;&gt;"",C195+'How to use'!$C$19+'How to use'!$C$17,C195+'How to use'!$C$18+'How to use'!$C$17)))</f>
        <v/>
      </c>
      <c r="Z195" s="9"/>
      <c r="AA195" s="36" t="str">
        <f aca="false">IF(P195&lt;&gt;"",P195,IF(L195&lt;&gt;"",L195,""))</f>
        <v/>
      </c>
      <c r="AB195" s="36" t="str">
        <f aca="false">IF(Q195&lt;&gt;"",Q195,IF(M195&lt;&gt;"",M195,""))</f>
        <v/>
      </c>
    </row>
    <row r="196" customFormat="false" ht="15" hidden="false" customHeight="false" outlineLevel="0" collapsed="false">
      <c r="A196" s="9"/>
      <c r="B196" s="9"/>
      <c r="C196" s="26"/>
      <c r="D196" s="9"/>
      <c r="E196" s="9"/>
      <c r="F196" s="9"/>
      <c r="G196" s="27"/>
      <c r="H196" s="28"/>
      <c r="I196" s="28"/>
      <c r="J196" s="29" t="str">
        <f aca="false">IF(OR(H196="",I196="",I196=0),"",H196/I196)</f>
        <v/>
      </c>
      <c r="K196" s="30"/>
      <c r="L196" s="28"/>
      <c r="M196" s="28"/>
      <c r="N196" s="29" t="str">
        <f aca="false">IF(OR(L196="",M196="",M196=0),"",L196/M196)</f>
        <v/>
      </c>
      <c r="O196" s="30"/>
      <c r="P196" s="28"/>
      <c r="Q196" s="28"/>
      <c r="R196" s="29" t="str">
        <f aca="false">IF(OR(P196="",Q196="",Q196=0),"",P196/Q196)</f>
        <v/>
      </c>
      <c r="S196" s="30"/>
      <c r="T196" s="31" t="str">
        <f aca="false">IF(OR(AA196="",H196="",H196=0),"",AA196/H196-1)</f>
        <v/>
      </c>
      <c r="U196" s="31" t="str">
        <f aca="false">IF(OR(AB196="",I196="",I196=0),"",AB196/I196-1)</f>
        <v/>
      </c>
      <c r="V196" s="32" t="str">
        <f aca="false">IF(OR(J196="",IF(R196&lt;&gt;"",R196,N196)=""),"",(IF(R196&lt;&gt;"",R196,N196)-J196)*100)</f>
        <v/>
      </c>
      <c r="W196" s="33" t="str">
        <f aca="false">IF(OR(K196="",IF(S196&lt;&gt;"",S196,O196)=""),"",K196-IF(S196&lt;&gt;"",S196,O196))</f>
        <v/>
      </c>
      <c r="X196" s="34" t="str">
        <f aca="false">IF(F196="","",IF(E196="Redirected (301)",IF(AA196="","Pending","Redirected – see target"),IF(OR(AA196="",H196=""),"Pending",IF(H196=0,IF(AA196&gt;0,"Win","Neutral"),IF(AA196&gt;=H196*(1+'How to use'!$C$15),"Win",IF(AA196&lt;=H196*(1+'How to use'!$C$16),"Loss","Neutral"))))))</f>
        <v/>
      </c>
      <c r="Y196" s="35" t="str">
        <f aca="false">IF(OR(F196="",C196=""),"",IF(P196&lt;&gt;"","Done",IF(L196&lt;&gt;"",C196+'How to use'!$C$19+'How to use'!$C$17,C196+'How to use'!$C$18+'How to use'!$C$17)))</f>
        <v/>
      </c>
      <c r="Z196" s="9"/>
      <c r="AA196" s="36" t="str">
        <f aca="false">IF(P196&lt;&gt;"",P196,IF(L196&lt;&gt;"",L196,""))</f>
        <v/>
      </c>
      <c r="AB196" s="36" t="str">
        <f aca="false">IF(Q196&lt;&gt;"",Q196,IF(M196&lt;&gt;"",M196,""))</f>
        <v/>
      </c>
    </row>
    <row r="197" customFormat="false" ht="15" hidden="false" customHeight="false" outlineLevel="0" collapsed="false">
      <c r="A197" s="9"/>
      <c r="B197" s="9"/>
      <c r="C197" s="26"/>
      <c r="D197" s="9"/>
      <c r="E197" s="9"/>
      <c r="F197" s="9"/>
      <c r="G197" s="27"/>
      <c r="H197" s="28"/>
      <c r="I197" s="28"/>
      <c r="J197" s="29" t="str">
        <f aca="false">IF(OR(H197="",I197="",I197=0),"",H197/I197)</f>
        <v/>
      </c>
      <c r="K197" s="30"/>
      <c r="L197" s="28"/>
      <c r="M197" s="28"/>
      <c r="N197" s="29" t="str">
        <f aca="false">IF(OR(L197="",M197="",M197=0),"",L197/M197)</f>
        <v/>
      </c>
      <c r="O197" s="30"/>
      <c r="P197" s="28"/>
      <c r="Q197" s="28"/>
      <c r="R197" s="29" t="str">
        <f aca="false">IF(OR(P197="",Q197="",Q197=0),"",P197/Q197)</f>
        <v/>
      </c>
      <c r="S197" s="30"/>
      <c r="T197" s="31" t="str">
        <f aca="false">IF(OR(AA197="",H197="",H197=0),"",AA197/H197-1)</f>
        <v/>
      </c>
      <c r="U197" s="31" t="str">
        <f aca="false">IF(OR(AB197="",I197="",I197=0),"",AB197/I197-1)</f>
        <v/>
      </c>
      <c r="V197" s="32" t="str">
        <f aca="false">IF(OR(J197="",IF(R197&lt;&gt;"",R197,N197)=""),"",(IF(R197&lt;&gt;"",R197,N197)-J197)*100)</f>
        <v/>
      </c>
      <c r="W197" s="33" t="str">
        <f aca="false">IF(OR(K197="",IF(S197&lt;&gt;"",S197,O197)=""),"",K197-IF(S197&lt;&gt;"",S197,O197))</f>
        <v/>
      </c>
      <c r="X197" s="34" t="str">
        <f aca="false">IF(F197="","",IF(E197="Redirected (301)",IF(AA197="","Pending","Redirected – see target"),IF(OR(AA197="",H197=""),"Pending",IF(H197=0,IF(AA197&gt;0,"Win","Neutral"),IF(AA197&gt;=H197*(1+'How to use'!$C$15),"Win",IF(AA197&lt;=H197*(1+'How to use'!$C$16),"Loss","Neutral"))))))</f>
        <v/>
      </c>
      <c r="Y197" s="35" t="str">
        <f aca="false">IF(OR(F197="",C197=""),"",IF(P197&lt;&gt;"","Done",IF(L197&lt;&gt;"",C197+'How to use'!$C$19+'How to use'!$C$17,C197+'How to use'!$C$18+'How to use'!$C$17)))</f>
        <v/>
      </c>
      <c r="Z197" s="9"/>
      <c r="AA197" s="36" t="str">
        <f aca="false">IF(P197&lt;&gt;"",P197,IF(L197&lt;&gt;"",L197,""))</f>
        <v/>
      </c>
      <c r="AB197" s="36" t="str">
        <f aca="false">IF(Q197&lt;&gt;"",Q197,IF(M197&lt;&gt;"",M197,""))</f>
        <v/>
      </c>
    </row>
    <row r="198" customFormat="false" ht="15" hidden="false" customHeight="false" outlineLevel="0" collapsed="false">
      <c r="A198" s="9"/>
      <c r="B198" s="9"/>
      <c r="C198" s="26"/>
      <c r="D198" s="9"/>
      <c r="E198" s="9"/>
      <c r="F198" s="9"/>
      <c r="G198" s="27"/>
      <c r="H198" s="28"/>
      <c r="I198" s="28"/>
      <c r="J198" s="29" t="str">
        <f aca="false">IF(OR(H198="",I198="",I198=0),"",H198/I198)</f>
        <v/>
      </c>
      <c r="K198" s="30"/>
      <c r="L198" s="28"/>
      <c r="M198" s="28"/>
      <c r="N198" s="29" t="str">
        <f aca="false">IF(OR(L198="",M198="",M198=0),"",L198/M198)</f>
        <v/>
      </c>
      <c r="O198" s="30"/>
      <c r="P198" s="28"/>
      <c r="Q198" s="28"/>
      <c r="R198" s="29" t="str">
        <f aca="false">IF(OR(P198="",Q198="",Q198=0),"",P198/Q198)</f>
        <v/>
      </c>
      <c r="S198" s="30"/>
      <c r="T198" s="31" t="str">
        <f aca="false">IF(OR(AA198="",H198="",H198=0),"",AA198/H198-1)</f>
        <v/>
      </c>
      <c r="U198" s="31" t="str">
        <f aca="false">IF(OR(AB198="",I198="",I198=0),"",AB198/I198-1)</f>
        <v/>
      </c>
      <c r="V198" s="32" t="str">
        <f aca="false">IF(OR(J198="",IF(R198&lt;&gt;"",R198,N198)=""),"",(IF(R198&lt;&gt;"",R198,N198)-J198)*100)</f>
        <v/>
      </c>
      <c r="W198" s="33" t="str">
        <f aca="false">IF(OR(K198="",IF(S198&lt;&gt;"",S198,O198)=""),"",K198-IF(S198&lt;&gt;"",S198,O198))</f>
        <v/>
      </c>
      <c r="X198" s="34" t="str">
        <f aca="false">IF(F198="","",IF(E198="Redirected (301)",IF(AA198="","Pending","Redirected – see target"),IF(OR(AA198="",H198=""),"Pending",IF(H198=0,IF(AA198&gt;0,"Win","Neutral"),IF(AA198&gt;=H198*(1+'How to use'!$C$15),"Win",IF(AA198&lt;=H198*(1+'How to use'!$C$16),"Loss","Neutral"))))))</f>
        <v/>
      </c>
      <c r="Y198" s="35" t="str">
        <f aca="false">IF(OR(F198="",C198=""),"",IF(P198&lt;&gt;"","Done",IF(L198&lt;&gt;"",C198+'How to use'!$C$19+'How to use'!$C$17,C198+'How to use'!$C$18+'How to use'!$C$17)))</f>
        <v/>
      </c>
      <c r="Z198" s="9"/>
      <c r="AA198" s="36" t="str">
        <f aca="false">IF(P198&lt;&gt;"",P198,IF(L198&lt;&gt;"",L198,""))</f>
        <v/>
      </c>
      <c r="AB198" s="36" t="str">
        <f aca="false">IF(Q198&lt;&gt;"",Q198,IF(M198&lt;&gt;"",M198,""))</f>
        <v/>
      </c>
    </row>
    <row r="199" customFormat="false" ht="15" hidden="false" customHeight="false" outlineLevel="0" collapsed="false">
      <c r="A199" s="9"/>
      <c r="B199" s="9"/>
      <c r="C199" s="26"/>
      <c r="D199" s="9"/>
      <c r="E199" s="9"/>
      <c r="F199" s="9"/>
      <c r="G199" s="27"/>
      <c r="H199" s="28"/>
      <c r="I199" s="28"/>
      <c r="J199" s="29" t="str">
        <f aca="false">IF(OR(H199="",I199="",I199=0),"",H199/I199)</f>
        <v/>
      </c>
      <c r="K199" s="30"/>
      <c r="L199" s="28"/>
      <c r="M199" s="28"/>
      <c r="N199" s="29" t="str">
        <f aca="false">IF(OR(L199="",M199="",M199=0),"",L199/M199)</f>
        <v/>
      </c>
      <c r="O199" s="30"/>
      <c r="P199" s="28"/>
      <c r="Q199" s="28"/>
      <c r="R199" s="29" t="str">
        <f aca="false">IF(OR(P199="",Q199="",Q199=0),"",P199/Q199)</f>
        <v/>
      </c>
      <c r="S199" s="30"/>
      <c r="T199" s="31" t="str">
        <f aca="false">IF(OR(AA199="",H199="",H199=0),"",AA199/H199-1)</f>
        <v/>
      </c>
      <c r="U199" s="31" t="str">
        <f aca="false">IF(OR(AB199="",I199="",I199=0),"",AB199/I199-1)</f>
        <v/>
      </c>
      <c r="V199" s="32" t="str">
        <f aca="false">IF(OR(J199="",IF(R199&lt;&gt;"",R199,N199)=""),"",(IF(R199&lt;&gt;"",R199,N199)-J199)*100)</f>
        <v/>
      </c>
      <c r="W199" s="33" t="str">
        <f aca="false">IF(OR(K199="",IF(S199&lt;&gt;"",S199,O199)=""),"",K199-IF(S199&lt;&gt;"",S199,O199))</f>
        <v/>
      </c>
      <c r="X199" s="34" t="str">
        <f aca="false">IF(F199="","",IF(E199="Redirected (301)",IF(AA199="","Pending","Redirected – see target"),IF(OR(AA199="",H199=""),"Pending",IF(H199=0,IF(AA199&gt;0,"Win","Neutral"),IF(AA199&gt;=H199*(1+'How to use'!$C$15),"Win",IF(AA199&lt;=H199*(1+'How to use'!$C$16),"Loss","Neutral"))))))</f>
        <v/>
      </c>
      <c r="Y199" s="35" t="str">
        <f aca="false">IF(OR(F199="",C199=""),"",IF(P199&lt;&gt;"","Done",IF(L199&lt;&gt;"",C199+'How to use'!$C$19+'How to use'!$C$17,C199+'How to use'!$C$18+'How to use'!$C$17)))</f>
        <v/>
      </c>
      <c r="Z199" s="9"/>
      <c r="AA199" s="36" t="str">
        <f aca="false">IF(P199&lt;&gt;"",P199,IF(L199&lt;&gt;"",L199,""))</f>
        <v/>
      </c>
      <c r="AB199" s="36" t="str">
        <f aca="false">IF(Q199&lt;&gt;"",Q199,IF(M199&lt;&gt;"",M199,""))</f>
        <v/>
      </c>
    </row>
    <row r="200" customFormat="false" ht="15" hidden="false" customHeight="false" outlineLevel="0" collapsed="false">
      <c r="A200" s="9"/>
      <c r="B200" s="9"/>
      <c r="C200" s="26"/>
      <c r="D200" s="9"/>
      <c r="E200" s="9"/>
      <c r="F200" s="9"/>
      <c r="G200" s="27"/>
      <c r="H200" s="28"/>
      <c r="I200" s="28"/>
      <c r="J200" s="29" t="str">
        <f aca="false">IF(OR(H200="",I200="",I200=0),"",H200/I200)</f>
        <v/>
      </c>
      <c r="K200" s="30"/>
      <c r="L200" s="28"/>
      <c r="M200" s="28"/>
      <c r="N200" s="29" t="str">
        <f aca="false">IF(OR(L200="",M200="",M200=0),"",L200/M200)</f>
        <v/>
      </c>
      <c r="O200" s="30"/>
      <c r="P200" s="28"/>
      <c r="Q200" s="28"/>
      <c r="R200" s="29" t="str">
        <f aca="false">IF(OR(P200="",Q200="",Q200=0),"",P200/Q200)</f>
        <v/>
      </c>
      <c r="S200" s="30"/>
      <c r="T200" s="31" t="str">
        <f aca="false">IF(OR(AA200="",H200="",H200=0),"",AA200/H200-1)</f>
        <v/>
      </c>
      <c r="U200" s="31" t="str">
        <f aca="false">IF(OR(AB200="",I200="",I200=0),"",AB200/I200-1)</f>
        <v/>
      </c>
      <c r="V200" s="32" t="str">
        <f aca="false">IF(OR(J200="",IF(R200&lt;&gt;"",R200,N200)=""),"",(IF(R200&lt;&gt;"",R200,N200)-J200)*100)</f>
        <v/>
      </c>
      <c r="W200" s="33" t="str">
        <f aca="false">IF(OR(K200="",IF(S200&lt;&gt;"",S200,O200)=""),"",K200-IF(S200&lt;&gt;"",S200,O200))</f>
        <v/>
      </c>
      <c r="X200" s="34" t="str">
        <f aca="false">IF(F200="","",IF(E200="Redirected (301)",IF(AA200="","Pending","Redirected – see target"),IF(OR(AA200="",H200=""),"Pending",IF(H200=0,IF(AA200&gt;0,"Win","Neutral"),IF(AA200&gt;=H200*(1+'How to use'!$C$15),"Win",IF(AA200&lt;=H200*(1+'How to use'!$C$16),"Loss","Neutral"))))))</f>
        <v/>
      </c>
      <c r="Y200" s="35" t="str">
        <f aca="false">IF(OR(F200="",C200=""),"",IF(P200&lt;&gt;"","Done",IF(L200&lt;&gt;"",C200+'How to use'!$C$19+'How to use'!$C$17,C200+'How to use'!$C$18+'How to use'!$C$17)))</f>
        <v/>
      </c>
      <c r="Z200" s="9"/>
      <c r="AA200" s="36" t="str">
        <f aca="false">IF(P200&lt;&gt;"",P200,IF(L200&lt;&gt;"",L200,""))</f>
        <v/>
      </c>
      <c r="AB200" s="36" t="str">
        <f aca="false">IF(Q200&lt;&gt;"",Q200,IF(M200&lt;&gt;"",M200,""))</f>
        <v/>
      </c>
    </row>
    <row r="201" customFormat="false" ht="15" hidden="false" customHeight="false" outlineLevel="0" collapsed="false">
      <c r="A201" s="9"/>
      <c r="B201" s="9"/>
      <c r="C201" s="26"/>
      <c r="D201" s="9"/>
      <c r="E201" s="9"/>
      <c r="F201" s="9"/>
      <c r="G201" s="27"/>
      <c r="H201" s="28"/>
      <c r="I201" s="28"/>
      <c r="J201" s="29" t="str">
        <f aca="false">IF(OR(H201="",I201="",I201=0),"",H201/I201)</f>
        <v/>
      </c>
      <c r="K201" s="30"/>
      <c r="L201" s="28"/>
      <c r="M201" s="28"/>
      <c r="N201" s="29" t="str">
        <f aca="false">IF(OR(L201="",M201="",M201=0),"",L201/M201)</f>
        <v/>
      </c>
      <c r="O201" s="30"/>
      <c r="P201" s="28"/>
      <c r="Q201" s="28"/>
      <c r="R201" s="29" t="str">
        <f aca="false">IF(OR(P201="",Q201="",Q201=0),"",P201/Q201)</f>
        <v/>
      </c>
      <c r="S201" s="30"/>
      <c r="T201" s="31" t="str">
        <f aca="false">IF(OR(AA201="",H201="",H201=0),"",AA201/H201-1)</f>
        <v/>
      </c>
      <c r="U201" s="31" t="str">
        <f aca="false">IF(OR(AB201="",I201="",I201=0),"",AB201/I201-1)</f>
        <v/>
      </c>
      <c r="V201" s="32" t="str">
        <f aca="false">IF(OR(J201="",IF(R201&lt;&gt;"",R201,N201)=""),"",(IF(R201&lt;&gt;"",R201,N201)-J201)*100)</f>
        <v/>
      </c>
      <c r="W201" s="33" t="str">
        <f aca="false">IF(OR(K201="",IF(S201&lt;&gt;"",S201,O201)=""),"",K201-IF(S201&lt;&gt;"",S201,O201))</f>
        <v/>
      </c>
      <c r="X201" s="34" t="str">
        <f aca="false">IF(F201="","",IF(E201="Redirected (301)",IF(AA201="","Pending","Redirected – see target"),IF(OR(AA201="",H201=""),"Pending",IF(H201=0,IF(AA201&gt;0,"Win","Neutral"),IF(AA201&gt;=H201*(1+'How to use'!$C$15),"Win",IF(AA201&lt;=H201*(1+'How to use'!$C$16),"Loss","Neutral"))))))</f>
        <v/>
      </c>
      <c r="Y201" s="35" t="str">
        <f aca="false">IF(OR(F201="",C201=""),"",IF(P201&lt;&gt;"","Done",IF(L201&lt;&gt;"",C201+'How to use'!$C$19+'How to use'!$C$17,C201+'How to use'!$C$18+'How to use'!$C$17)))</f>
        <v/>
      </c>
      <c r="Z201" s="9"/>
      <c r="AA201" s="36" t="str">
        <f aca="false">IF(P201&lt;&gt;"",P201,IF(L201&lt;&gt;"",L201,""))</f>
        <v/>
      </c>
      <c r="AB201" s="36" t="str">
        <f aca="false">IF(Q201&lt;&gt;"",Q201,IF(M201&lt;&gt;"",M201,""))</f>
        <v/>
      </c>
    </row>
    <row r="202" customFormat="false" ht="15" hidden="false" customHeight="false" outlineLevel="0" collapsed="false">
      <c r="A202" s="9"/>
      <c r="B202" s="9"/>
      <c r="C202" s="26"/>
      <c r="D202" s="9"/>
      <c r="E202" s="9"/>
      <c r="F202" s="9"/>
      <c r="G202" s="27"/>
      <c r="H202" s="28"/>
      <c r="I202" s="28"/>
      <c r="J202" s="29" t="str">
        <f aca="false">IF(OR(H202="",I202="",I202=0),"",H202/I202)</f>
        <v/>
      </c>
      <c r="K202" s="30"/>
      <c r="L202" s="28"/>
      <c r="M202" s="28"/>
      <c r="N202" s="29" t="str">
        <f aca="false">IF(OR(L202="",M202="",M202=0),"",L202/M202)</f>
        <v/>
      </c>
      <c r="O202" s="30"/>
      <c r="P202" s="28"/>
      <c r="Q202" s="28"/>
      <c r="R202" s="29" t="str">
        <f aca="false">IF(OR(P202="",Q202="",Q202=0),"",P202/Q202)</f>
        <v/>
      </c>
      <c r="S202" s="30"/>
      <c r="T202" s="31" t="str">
        <f aca="false">IF(OR(AA202="",H202="",H202=0),"",AA202/H202-1)</f>
        <v/>
      </c>
      <c r="U202" s="31" t="str">
        <f aca="false">IF(OR(AB202="",I202="",I202=0),"",AB202/I202-1)</f>
        <v/>
      </c>
      <c r="V202" s="32" t="str">
        <f aca="false">IF(OR(J202="",IF(R202&lt;&gt;"",R202,N202)=""),"",(IF(R202&lt;&gt;"",R202,N202)-J202)*100)</f>
        <v/>
      </c>
      <c r="W202" s="33" t="str">
        <f aca="false">IF(OR(K202="",IF(S202&lt;&gt;"",S202,O202)=""),"",K202-IF(S202&lt;&gt;"",S202,O202))</f>
        <v/>
      </c>
      <c r="X202" s="34" t="str">
        <f aca="false">IF(F202="","",IF(E202="Redirected (301)",IF(AA202="","Pending","Redirected – see target"),IF(OR(AA202="",H202=""),"Pending",IF(H202=0,IF(AA202&gt;0,"Win","Neutral"),IF(AA202&gt;=H202*(1+'How to use'!$C$15),"Win",IF(AA202&lt;=H202*(1+'How to use'!$C$16),"Loss","Neutral"))))))</f>
        <v/>
      </c>
      <c r="Y202" s="35" t="str">
        <f aca="false">IF(OR(F202="",C202=""),"",IF(P202&lt;&gt;"","Done",IF(L202&lt;&gt;"",C202+'How to use'!$C$19+'How to use'!$C$17,C202+'How to use'!$C$18+'How to use'!$C$17)))</f>
        <v/>
      </c>
      <c r="Z202" s="9"/>
      <c r="AA202" s="36" t="str">
        <f aca="false">IF(P202&lt;&gt;"",P202,IF(L202&lt;&gt;"",L202,""))</f>
        <v/>
      </c>
      <c r="AB202" s="36" t="str">
        <f aca="false">IF(Q202&lt;&gt;"",Q202,IF(M202&lt;&gt;"",M202,""))</f>
        <v/>
      </c>
    </row>
    <row r="203" customFormat="false" ht="15" hidden="false" customHeight="false" outlineLevel="0" collapsed="false">
      <c r="A203" s="9"/>
      <c r="B203" s="9"/>
      <c r="C203" s="26"/>
      <c r="D203" s="9"/>
      <c r="E203" s="9"/>
      <c r="F203" s="9"/>
      <c r="G203" s="27"/>
      <c r="H203" s="28"/>
      <c r="I203" s="28"/>
      <c r="J203" s="29" t="str">
        <f aca="false">IF(OR(H203="",I203="",I203=0),"",H203/I203)</f>
        <v/>
      </c>
      <c r="K203" s="30"/>
      <c r="L203" s="28"/>
      <c r="M203" s="28"/>
      <c r="N203" s="29" t="str">
        <f aca="false">IF(OR(L203="",M203="",M203=0),"",L203/M203)</f>
        <v/>
      </c>
      <c r="O203" s="30"/>
      <c r="P203" s="28"/>
      <c r="Q203" s="28"/>
      <c r="R203" s="29" t="str">
        <f aca="false">IF(OR(P203="",Q203="",Q203=0),"",P203/Q203)</f>
        <v/>
      </c>
      <c r="S203" s="30"/>
      <c r="T203" s="31" t="str">
        <f aca="false">IF(OR(AA203="",H203="",H203=0),"",AA203/H203-1)</f>
        <v/>
      </c>
      <c r="U203" s="31" t="str">
        <f aca="false">IF(OR(AB203="",I203="",I203=0),"",AB203/I203-1)</f>
        <v/>
      </c>
      <c r="V203" s="32" t="str">
        <f aca="false">IF(OR(J203="",IF(R203&lt;&gt;"",R203,N203)=""),"",(IF(R203&lt;&gt;"",R203,N203)-J203)*100)</f>
        <v/>
      </c>
      <c r="W203" s="33" t="str">
        <f aca="false">IF(OR(K203="",IF(S203&lt;&gt;"",S203,O203)=""),"",K203-IF(S203&lt;&gt;"",S203,O203))</f>
        <v/>
      </c>
      <c r="X203" s="34" t="str">
        <f aca="false">IF(F203="","",IF(E203="Redirected (301)",IF(AA203="","Pending","Redirected – see target"),IF(OR(AA203="",H203=""),"Pending",IF(H203=0,IF(AA203&gt;0,"Win","Neutral"),IF(AA203&gt;=H203*(1+'How to use'!$C$15),"Win",IF(AA203&lt;=H203*(1+'How to use'!$C$16),"Loss","Neutral"))))))</f>
        <v/>
      </c>
      <c r="Y203" s="35" t="str">
        <f aca="false">IF(OR(F203="",C203=""),"",IF(P203&lt;&gt;"","Done",IF(L203&lt;&gt;"",C203+'How to use'!$C$19+'How to use'!$C$17,C203+'How to use'!$C$18+'How to use'!$C$17)))</f>
        <v/>
      </c>
      <c r="Z203" s="9"/>
      <c r="AA203" s="36" t="str">
        <f aca="false">IF(P203&lt;&gt;"",P203,IF(L203&lt;&gt;"",L203,""))</f>
        <v/>
      </c>
      <c r="AB203" s="36" t="str">
        <f aca="false">IF(Q203&lt;&gt;"",Q203,IF(M203&lt;&gt;"",M203,""))</f>
        <v/>
      </c>
    </row>
    <row r="204" customFormat="false" ht="15" hidden="false" customHeight="false" outlineLevel="0" collapsed="false">
      <c r="A204" s="9"/>
      <c r="B204" s="9"/>
      <c r="C204" s="26"/>
      <c r="D204" s="9"/>
      <c r="E204" s="9"/>
      <c r="F204" s="9"/>
      <c r="G204" s="27"/>
      <c r="H204" s="28"/>
      <c r="I204" s="28"/>
      <c r="J204" s="29" t="str">
        <f aca="false">IF(OR(H204="",I204="",I204=0),"",H204/I204)</f>
        <v/>
      </c>
      <c r="K204" s="30"/>
      <c r="L204" s="28"/>
      <c r="M204" s="28"/>
      <c r="N204" s="29" t="str">
        <f aca="false">IF(OR(L204="",M204="",M204=0),"",L204/M204)</f>
        <v/>
      </c>
      <c r="O204" s="30"/>
      <c r="P204" s="28"/>
      <c r="Q204" s="28"/>
      <c r="R204" s="29" t="str">
        <f aca="false">IF(OR(P204="",Q204="",Q204=0),"",P204/Q204)</f>
        <v/>
      </c>
      <c r="S204" s="30"/>
      <c r="T204" s="31" t="str">
        <f aca="false">IF(OR(AA204="",H204="",H204=0),"",AA204/H204-1)</f>
        <v/>
      </c>
      <c r="U204" s="31" t="str">
        <f aca="false">IF(OR(AB204="",I204="",I204=0),"",AB204/I204-1)</f>
        <v/>
      </c>
      <c r="V204" s="32" t="str">
        <f aca="false">IF(OR(J204="",IF(R204&lt;&gt;"",R204,N204)=""),"",(IF(R204&lt;&gt;"",R204,N204)-J204)*100)</f>
        <v/>
      </c>
      <c r="W204" s="33" t="str">
        <f aca="false">IF(OR(K204="",IF(S204&lt;&gt;"",S204,O204)=""),"",K204-IF(S204&lt;&gt;"",S204,O204))</f>
        <v/>
      </c>
      <c r="X204" s="34" t="str">
        <f aca="false">IF(F204="","",IF(E204="Redirected (301)",IF(AA204="","Pending","Redirected – see target"),IF(OR(AA204="",H204=""),"Pending",IF(H204=0,IF(AA204&gt;0,"Win","Neutral"),IF(AA204&gt;=H204*(1+'How to use'!$C$15),"Win",IF(AA204&lt;=H204*(1+'How to use'!$C$16),"Loss","Neutral"))))))</f>
        <v/>
      </c>
      <c r="Y204" s="35" t="str">
        <f aca="false">IF(OR(F204="",C204=""),"",IF(P204&lt;&gt;"","Done",IF(L204&lt;&gt;"",C204+'How to use'!$C$19+'How to use'!$C$17,C204+'How to use'!$C$18+'How to use'!$C$17)))</f>
        <v/>
      </c>
      <c r="Z204" s="9"/>
      <c r="AA204" s="36" t="str">
        <f aca="false">IF(P204&lt;&gt;"",P204,IF(L204&lt;&gt;"",L204,""))</f>
        <v/>
      </c>
      <c r="AB204" s="36" t="str">
        <f aca="false">IF(Q204&lt;&gt;"",Q204,IF(M204&lt;&gt;"",M204,""))</f>
        <v/>
      </c>
    </row>
    <row r="205" customFormat="false" ht="15" hidden="false" customHeight="false" outlineLevel="0" collapsed="false">
      <c r="A205" s="9"/>
      <c r="B205" s="9"/>
      <c r="C205" s="26"/>
      <c r="D205" s="9"/>
      <c r="E205" s="9"/>
      <c r="F205" s="9"/>
      <c r="G205" s="27"/>
      <c r="H205" s="28"/>
      <c r="I205" s="28"/>
      <c r="J205" s="29" t="str">
        <f aca="false">IF(OR(H205="",I205="",I205=0),"",H205/I205)</f>
        <v/>
      </c>
      <c r="K205" s="30"/>
      <c r="L205" s="28"/>
      <c r="M205" s="28"/>
      <c r="N205" s="29" t="str">
        <f aca="false">IF(OR(L205="",M205="",M205=0),"",L205/M205)</f>
        <v/>
      </c>
      <c r="O205" s="30"/>
      <c r="P205" s="28"/>
      <c r="Q205" s="28"/>
      <c r="R205" s="29" t="str">
        <f aca="false">IF(OR(P205="",Q205="",Q205=0),"",P205/Q205)</f>
        <v/>
      </c>
      <c r="S205" s="30"/>
      <c r="T205" s="31" t="str">
        <f aca="false">IF(OR(AA205="",H205="",H205=0),"",AA205/H205-1)</f>
        <v/>
      </c>
      <c r="U205" s="31" t="str">
        <f aca="false">IF(OR(AB205="",I205="",I205=0),"",AB205/I205-1)</f>
        <v/>
      </c>
      <c r="V205" s="32" t="str">
        <f aca="false">IF(OR(J205="",IF(R205&lt;&gt;"",R205,N205)=""),"",(IF(R205&lt;&gt;"",R205,N205)-J205)*100)</f>
        <v/>
      </c>
      <c r="W205" s="33" t="str">
        <f aca="false">IF(OR(K205="",IF(S205&lt;&gt;"",S205,O205)=""),"",K205-IF(S205&lt;&gt;"",S205,O205))</f>
        <v/>
      </c>
      <c r="X205" s="34" t="str">
        <f aca="false">IF(F205="","",IF(E205="Redirected (301)",IF(AA205="","Pending","Redirected – see target"),IF(OR(AA205="",H205=""),"Pending",IF(H205=0,IF(AA205&gt;0,"Win","Neutral"),IF(AA205&gt;=H205*(1+'How to use'!$C$15),"Win",IF(AA205&lt;=H205*(1+'How to use'!$C$16),"Loss","Neutral"))))))</f>
        <v/>
      </c>
      <c r="Y205" s="35" t="str">
        <f aca="false">IF(OR(F205="",C205=""),"",IF(P205&lt;&gt;"","Done",IF(L205&lt;&gt;"",C205+'How to use'!$C$19+'How to use'!$C$17,C205+'How to use'!$C$18+'How to use'!$C$17)))</f>
        <v/>
      </c>
      <c r="Z205" s="9"/>
      <c r="AA205" s="36" t="str">
        <f aca="false">IF(P205&lt;&gt;"",P205,IF(L205&lt;&gt;"",L205,""))</f>
        <v/>
      </c>
      <c r="AB205" s="36" t="str">
        <f aca="false">IF(Q205&lt;&gt;"",Q205,IF(M205&lt;&gt;"",M205,""))</f>
        <v/>
      </c>
    </row>
    <row r="206" customFormat="false" ht="15" hidden="false" customHeight="false" outlineLevel="0" collapsed="false">
      <c r="A206" s="9"/>
      <c r="B206" s="9"/>
      <c r="C206" s="26"/>
      <c r="D206" s="9"/>
      <c r="E206" s="9"/>
      <c r="F206" s="9"/>
      <c r="G206" s="27"/>
      <c r="H206" s="28"/>
      <c r="I206" s="28"/>
      <c r="J206" s="29" t="str">
        <f aca="false">IF(OR(H206="",I206="",I206=0),"",H206/I206)</f>
        <v/>
      </c>
      <c r="K206" s="30"/>
      <c r="L206" s="28"/>
      <c r="M206" s="28"/>
      <c r="N206" s="29" t="str">
        <f aca="false">IF(OR(L206="",M206="",M206=0),"",L206/M206)</f>
        <v/>
      </c>
      <c r="O206" s="30"/>
      <c r="P206" s="28"/>
      <c r="Q206" s="28"/>
      <c r="R206" s="29" t="str">
        <f aca="false">IF(OR(P206="",Q206="",Q206=0),"",P206/Q206)</f>
        <v/>
      </c>
      <c r="S206" s="30"/>
      <c r="T206" s="31" t="str">
        <f aca="false">IF(OR(AA206="",H206="",H206=0),"",AA206/H206-1)</f>
        <v/>
      </c>
      <c r="U206" s="31" t="str">
        <f aca="false">IF(OR(AB206="",I206="",I206=0),"",AB206/I206-1)</f>
        <v/>
      </c>
      <c r="V206" s="32" t="str">
        <f aca="false">IF(OR(J206="",IF(R206&lt;&gt;"",R206,N206)=""),"",(IF(R206&lt;&gt;"",R206,N206)-J206)*100)</f>
        <v/>
      </c>
      <c r="W206" s="33" t="str">
        <f aca="false">IF(OR(K206="",IF(S206&lt;&gt;"",S206,O206)=""),"",K206-IF(S206&lt;&gt;"",S206,O206))</f>
        <v/>
      </c>
      <c r="X206" s="34" t="str">
        <f aca="false">IF(F206="","",IF(E206="Redirected (301)",IF(AA206="","Pending","Redirected – see target"),IF(OR(AA206="",H206=""),"Pending",IF(H206=0,IF(AA206&gt;0,"Win","Neutral"),IF(AA206&gt;=H206*(1+'How to use'!$C$15),"Win",IF(AA206&lt;=H206*(1+'How to use'!$C$16),"Loss","Neutral"))))))</f>
        <v/>
      </c>
      <c r="Y206" s="35" t="str">
        <f aca="false">IF(OR(F206="",C206=""),"",IF(P206&lt;&gt;"","Done",IF(L206&lt;&gt;"",C206+'How to use'!$C$19+'How to use'!$C$17,C206+'How to use'!$C$18+'How to use'!$C$17)))</f>
        <v/>
      </c>
      <c r="Z206" s="9"/>
      <c r="AA206" s="36" t="str">
        <f aca="false">IF(P206&lt;&gt;"",P206,IF(L206&lt;&gt;"",L206,""))</f>
        <v/>
      </c>
      <c r="AB206" s="36" t="str">
        <f aca="false">IF(Q206&lt;&gt;"",Q206,IF(M206&lt;&gt;"",M206,""))</f>
        <v/>
      </c>
    </row>
    <row r="207" customFormat="false" ht="15" hidden="false" customHeight="false" outlineLevel="0" collapsed="false">
      <c r="A207" s="9"/>
      <c r="B207" s="9"/>
      <c r="C207" s="26"/>
      <c r="D207" s="9"/>
      <c r="E207" s="9"/>
      <c r="F207" s="9"/>
      <c r="G207" s="27"/>
      <c r="H207" s="28"/>
      <c r="I207" s="28"/>
      <c r="J207" s="29" t="str">
        <f aca="false">IF(OR(H207="",I207="",I207=0),"",H207/I207)</f>
        <v/>
      </c>
      <c r="K207" s="30"/>
      <c r="L207" s="28"/>
      <c r="M207" s="28"/>
      <c r="N207" s="29" t="str">
        <f aca="false">IF(OR(L207="",M207="",M207=0),"",L207/M207)</f>
        <v/>
      </c>
      <c r="O207" s="30"/>
      <c r="P207" s="28"/>
      <c r="Q207" s="28"/>
      <c r="R207" s="29" t="str">
        <f aca="false">IF(OR(P207="",Q207="",Q207=0),"",P207/Q207)</f>
        <v/>
      </c>
      <c r="S207" s="30"/>
      <c r="T207" s="31" t="str">
        <f aca="false">IF(OR(AA207="",H207="",H207=0),"",AA207/H207-1)</f>
        <v/>
      </c>
      <c r="U207" s="31" t="str">
        <f aca="false">IF(OR(AB207="",I207="",I207=0),"",AB207/I207-1)</f>
        <v/>
      </c>
      <c r="V207" s="32" t="str">
        <f aca="false">IF(OR(J207="",IF(R207&lt;&gt;"",R207,N207)=""),"",(IF(R207&lt;&gt;"",R207,N207)-J207)*100)</f>
        <v/>
      </c>
      <c r="W207" s="33" t="str">
        <f aca="false">IF(OR(K207="",IF(S207&lt;&gt;"",S207,O207)=""),"",K207-IF(S207&lt;&gt;"",S207,O207))</f>
        <v/>
      </c>
      <c r="X207" s="34" t="str">
        <f aca="false">IF(F207="","",IF(E207="Redirected (301)",IF(AA207="","Pending","Redirected – see target"),IF(OR(AA207="",H207=""),"Pending",IF(H207=0,IF(AA207&gt;0,"Win","Neutral"),IF(AA207&gt;=H207*(1+'How to use'!$C$15),"Win",IF(AA207&lt;=H207*(1+'How to use'!$C$16),"Loss","Neutral"))))))</f>
        <v/>
      </c>
      <c r="Y207" s="35" t="str">
        <f aca="false">IF(OR(F207="",C207=""),"",IF(P207&lt;&gt;"","Done",IF(L207&lt;&gt;"",C207+'How to use'!$C$19+'How to use'!$C$17,C207+'How to use'!$C$18+'How to use'!$C$17)))</f>
        <v/>
      </c>
      <c r="Z207" s="9"/>
      <c r="AA207" s="36" t="str">
        <f aca="false">IF(P207&lt;&gt;"",P207,IF(L207&lt;&gt;"",L207,""))</f>
        <v/>
      </c>
      <c r="AB207" s="36" t="str">
        <f aca="false">IF(Q207&lt;&gt;"",Q207,IF(M207&lt;&gt;"",M207,""))</f>
        <v/>
      </c>
    </row>
    <row r="208" customFormat="false" ht="15" hidden="false" customHeight="false" outlineLevel="0" collapsed="false">
      <c r="A208" s="9"/>
      <c r="B208" s="9"/>
      <c r="C208" s="26"/>
      <c r="D208" s="9"/>
      <c r="E208" s="9"/>
      <c r="F208" s="9"/>
      <c r="G208" s="27"/>
      <c r="H208" s="28"/>
      <c r="I208" s="28"/>
      <c r="J208" s="29" t="str">
        <f aca="false">IF(OR(H208="",I208="",I208=0),"",H208/I208)</f>
        <v/>
      </c>
      <c r="K208" s="30"/>
      <c r="L208" s="28"/>
      <c r="M208" s="28"/>
      <c r="N208" s="29" t="str">
        <f aca="false">IF(OR(L208="",M208="",M208=0),"",L208/M208)</f>
        <v/>
      </c>
      <c r="O208" s="30"/>
      <c r="P208" s="28"/>
      <c r="Q208" s="28"/>
      <c r="R208" s="29" t="str">
        <f aca="false">IF(OR(P208="",Q208="",Q208=0),"",P208/Q208)</f>
        <v/>
      </c>
      <c r="S208" s="30"/>
      <c r="T208" s="31" t="str">
        <f aca="false">IF(OR(AA208="",H208="",H208=0),"",AA208/H208-1)</f>
        <v/>
      </c>
      <c r="U208" s="31" t="str">
        <f aca="false">IF(OR(AB208="",I208="",I208=0),"",AB208/I208-1)</f>
        <v/>
      </c>
      <c r="V208" s="32" t="str">
        <f aca="false">IF(OR(J208="",IF(R208&lt;&gt;"",R208,N208)=""),"",(IF(R208&lt;&gt;"",R208,N208)-J208)*100)</f>
        <v/>
      </c>
      <c r="W208" s="33" t="str">
        <f aca="false">IF(OR(K208="",IF(S208&lt;&gt;"",S208,O208)=""),"",K208-IF(S208&lt;&gt;"",S208,O208))</f>
        <v/>
      </c>
      <c r="X208" s="34" t="str">
        <f aca="false">IF(F208="","",IF(E208="Redirected (301)",IF(AA208="","Pending","Redirected – see target"),IF(OR(AA208="",H208=""),"Pending",IF(H208=0,IF(AA208&gt;0,"Win","Neutral"),IF(AA208&gt;=H208*(1+'How to use'!$C$15),"Win",IF(AA208&lt;=H208*(1+'How to use'!$C$16),"Loss","Neutral"))))))</f>
        <v/>
      </c>
      <c r="Y208" s="35" t="str">
        <f aca="false">IF(OR(F208="",C208=""),"",IF(P208&lt;&gt;"","Done",IF(L208&lt;&gt;"",C208+'How to use'!$C$19+'How to use'!$C$17,C208+'How to use'!$C$18+'How to use'!$C$17)))</f>
        <v/>
      </c>
      <c r="Z208" s="9"/>
      <c r="AA208" s="36" t="str">
        <f aca="false">IF(P208&lt;&gt;"",P208,IF(L208&lt;&gt;"",L208,""))</f>
        <v/>
      </c>
      <c r="AB208" s="36" t="str">
        <f aca="false">IF(Q208&lt;&gt;"",Q208,IF(M208&lt;&gt;"",M208,""))</f>
        <v/>
      </c>
    </row>
    <row r="209" customFormat="false" ht="15" hidden="false" customHeight="false" outlineLevel="0" collapsed="false">
      <c r="A209" s="9"/>
      <c r="B209" s="9"/>
      <c r="C209" s="26"/>
      <c r="D209" s="9"/>
      <c r="E209" s="9"/>
      <c r="F209" s="9"/>
      <c r="G209" s="27"/>
      <c r="H209" s="28"/>
      <c r="I209" s="28"/>
      <c r="J209" s="29" t="str">
        <f aca="false">IF(OR(H209="",I209="",I209=0),"",H209/I209)</f>
        <v/>
      </c>
      <c r="K209" s="30"/>
      <c r="L209" s="28"/>
      <c r="M209" s="28"/>
      <c r="N209" s="29" t="str">
        <f aca="false">IF(OR(L209="",M209="",M209=0),"",L209/M209)</f>
        <v/>
      </c>
      <c r="O209" s="30"/>
      <c r="P209" s="28"/>
      <c r="Q209" s="28"/>
      <c r="R209" s="29" t="str">
        <f aca="false">IF(OR(P209="",Q209="",Q209=0),"",P209/Q209)</f>
        <v/>
      </c>
      <c r="S209" s="30"/>
      <c r="T209" s="31" t="str">
        <f aca="false">IF(OR(AA209="",H209="",H209=0),"",AA209/H209-1)</f>
        <v/>
      </c>
      <c r="U209" s="31" t="str">
        <f aca="false">IF(OR(AB209="",I209="",I209=0),"",AB209/I209-1)</f>
        <v/>
      </c>
      <c r="V209" s="32" t="str">
        <f aca="false">IF(OR(J209="",IF(R209&lt;&gt;"",R209,N209)=""),"",(IF(R209&lt;&gt;"",R209,N209)-J209)*100)</f>
        <v/>
      </c>
      <c r="W209" s="33" t="str">
        <f aca="false">IF(OR(K209="",IF(S209&lt;&gt;"",S209,O209)=""),"",K209-IF(S209&lt;&gt;"",S209,O209))</f>
        <v/>
      </c>
      <c r="X209" s="34" t="str">
        <f aca="false">IF(F209="","",IF(E209="Redirected (301)",IF(AA209="","Pending","Redirected – see target"),IF(OR(AA209="",H209=""),"Pending",IF(H209=0,IF(AA209&gt;0,"Win","Neutral"),IF(AA209&gt;=H209*(1+'How to use'!$C$15),"Win",IF(AA209&lt;=H209*(1+'How to use'!$C$16),"Loss","Neutral"))))))</f>
        <v/>
      </c>
      <c r="Y209" s="35" t="str">
        <f aca="false">IF(OR(F209="",C209=""),"",IF(P209&lt;&gt;"","Done",IF(L209&lt;&gt;"",C209+'How to use'!$C$19+'How to use'!$C$17,C209+'How to use'!$C$18+'How to use'!$C$17)))</f>
        <v/>
      </c>
      <c r="Z209" s="9"/>
      <c r="AA209" s="36" t="str">
        <f aca="false">IF(P209&lt;&gt;"",P209,IF(L209&lt;&gt;"",L209,""))</f>
        <v/>
      </c>
      <c r="AB209" s="36" t="str">
        <f aca="false">IF(Q209&lt;&gt;"",Q209,IF(M209&lt;&gt;"",M209,""))</f>
        <v/>
      </c>
    </row>
    <row r="210" customFormat="false" ht="15" hidden="false" customHeight="false" outlineLevel="0" collapsed="false">
      <c r="A210" s="9"/>
      <c r="B210" s="9"/>
      <c r="C210" s="26"/>
      <c r="D210" s="9"/>
      <c r="E210" s="9"/>
      <c r="F210" s="9"/>
      <c r="G210" s="27"/>
      <c r="H210" s="28"/>
      <c r="I210" s="28"/>
      <c r="J210" s="29" t="str">
        <f aca="false">IF(OR(H210="",I210="",I210=0),"",H210/I210)</f>
        <v/>
      </c>
      <c r="K210" s="30"/>
      <c r="L210" s="28"/>
      <c r="M210" s="28"/>
      <c r="N210" s="29" t="str">
        <f aca="false">IF(OR(L210="",M210="",M210=0),"",L210/M210)</f>
        <v/>
      </c>
      <c r="O210" s="30"/>
      <c r="P210" s="28"/>
      <c r="Q210" s="28"/>
      <c r="R210" s="29" t="str">
        <f aca="false">IF(OR(P210="",Q210="",Q210=0),"",P210/Q210)</f>
        <v/>
      </c>
      <c r="S210" s="30"/>
      <c r="T210" s="31" t="str">
        <f aca="false">IF(OR(AA210="",H210="",H210=0),"",AA210/H210-1)</f>
        <v/>
      </c>
      <c r="U210" s="31" t="str">
        <f aca="false">IF(OR(AB210="",I210="",I210=0),"",AB210/I210-1)</f>
        <v/>
      </c>
      <c r="V210" s="32" t="str">
        <f aca="false">IF(OR(J210="",IF(R210&lt;&gt;"",R210,N210)=""),"",(IF(R210&lt;&gt;"",R210,N210)-J210)*100)</f>
        <v/>
      </c>
      <c r="W210" s="33" t="str">
        <f aca="false">IF(OR(K210="",IF(S210&lt;&gt;"",S210,O210)=""),"",K210-IF(S210&lt;&gt;"",S210,O210))</f>
        <v/>
      </c>
      <c r="X210" s="34" t="str">
        <f aca="false">IF(F210="","",IF(E210="Redirected (301)",IF(AA210="","Pending","Redirected – see target"),IF(OR(AA210="",H210=""),"Pending",IF(H210=0,IF(AA210&gt;0,"Win","Neutral"),IF(AA210&gt;=H210*(1+'How to use'!$C$15),"Win",IF(AA210&lt;=H210*(1+'How to use'!$C$16),"Loss","Neutral"))))))</f>
        <v/>
      </c>
      <c r="Y210" s="35" t="str">
        <f aca="false">IF(OR(F210="",C210=""),"",IF(P210&lt;&gt;"","Done",IF(L210&lt;&gt;"",C210+'How to use'!$C$19+'How to use'!$C$17,C210+'How to use'!$C$18+'How to use'!$C$17)))</f>
        <v/>
      </c>
      <c r="Z210" s="9"/>
      <c r="AA210" s="36" t="str">
        <f aca="false">IF(P210&lt;&gt;"",P210,IF(L210&lt;&gt;"",L210,""))</f>
        <v/>
      </c>
      <c r="AB210" s="36" t="str">
        <f aca="false">IF(Q210&lt;&gt;"",Q210,IF(M210&lt;&gt;"",M210,""))</f>
        <v/>
      </c>
    </row>
    <row r="211" customFormat="false" ht="15" hidden="false" customHeight="false" outlineLevel="0" collapsed="false">
      <c r="A211" s="9"/>
      <c r="B211" s="9"/>
      <c r="C211" s="26"/>
      <c r="D211" s="9"/>
      <c r="E211" s="9"/>
      <c r="F211" s="9"/>
      <c r="G211" s="27"/>
      <c r="H211" s="28"/>
      <c r="I211" s="28"/>
      <c r="J211" s="29" t="str">
        <f aca="false">IF(OR(H211="",I211="",I211=0),"",H211/I211)</f>
        <v/>
      </c>
      <c r="K211" s="30"/>
      <c r="L211" s="28"/>
      <c r="M211" s="28"/>
      <c r="N211" s="29" t="str">
        <f aca="false">IF(OR(L211="",M211="",M211=0),"",L211/M211)</f>
        <v/>
      </c>
      <c r="O211" s="30"/>
      <c r="P211" s="28"/>
      <c r="Q211" s="28"/>
      <c r="R211" s="29" t="str">
        <f aca="false">IF(OR(P211="",Q211="",Q211=0),"",P211/Q211)</f>
        <v/>
      </c>
      <c r="S211" s="30"/>
      <c r="T211" s="31" t="str">
        <f aca="false">IF(OR(AA211="",H211="",H211=0),"",AA211/H211-1)</f>
        <v/>
      </c>
      <c r="U211" s="31" t="str">
        <f aca="false">IF(OR(AB211="",I211="",I211=0),"",AB211/I211-1)</f>
        <v/>
      </c>
      <c r="V211" s="32" t="str">
        <f aca="false">IF(OR(J211="",IF(R211&lt;&gt;"",R211,N211)=""),"",(IF(R211&lt;&gt;"",R211,N211)-J211)*100)</f>
        <v/>
      </c>
      <c r="W211" s="33" t="str">
        <f aca="false">IF(OR(K211="",IF(S211&lt;&gt;"",S211,O211)=""),"",K211-IF(S211&lt;&gt;"",S211,O211))</f>
        <v/>
      </c>
      <c r="X211" s="34" t="str">
        <f aca="false">IF(F211="","",IF(E211="Redirected (301)",IF(AA211="","Pending","Redirected – see target"),IF(OR(AA211="",H211=""),"Pending",IF(H211=0,IF(AA211&gt;0,"Win","Neutral"),IF(AA211&gt;=H211*(1+'How to use'!$C$15),"Win",IF(AA211&lt;=H211*(1+'How to use'!$C$16),"Loss","Neutral"))))))</f>
        <v/>
      </c>
      <c r="Y211" s="35" t="str">
        <f aca="false">IF(OR(F211="",C211=""),"",IF(P211&lt;&gt;"","Done",IF(L211&lt;&gt;"",C211+'How to use'!$C$19+'How to use'!$C$17,C211+'How to use'!$C$18+'How to use'!$C$17)))</f>
        <v/>
      </c>
      <c r="Z211" s="9"/>
      <c r="AA211" s="36" t="str">
        <f aca="false">IF(P211&lt;&gt;"",P211,IF(L211&lt;&gt;"",L211,""))</f>
        <v/>
      </c>
      <c r="AB211" s="36" t="str">
        <f aca="false">IF(Q211&lt;&gt;"",Q211,IF(M211&lt;&gt;"",M211,""))</f>
        <v/>
      </c>
    </row>
    <row r="212" customFormat="false" ht="15" hidden="false" customHeight="false" outlineLevel="0" collapsed="false">
      <c r="A212" s="9"/>
      <c r="B212" s="9"/>
      <c r="C212" s="26"/>
      <c r="D212" s="9"/>
      <c r="E212" s="9"/>
      <c r="F212" s="9"/>
      <c r="G212" s="27"/>
      <c r="H212" s="28"/>
      <c r="I212" s="28"/>
      <c r="J212" s="29" t="str">
        <f aca="false">IF(OR(H212="",I212="",I212=0),"",H212/I212)</f>
        <v/>
      </c>
      <c r="K212" s="30"/>
      <c r="L212" s="28"/>
      <c r="M212" s="28"/>
      <c r="N212" s="29" t="str">
        <f aca="false">IF(OR(L212="",M212="",M212=0),"",L212/M212)</f>
        <v/>
      </c>
      <c r="O212" s="30"/>
      <c r="P212" s="28"/>
      <c r="Q212" s="28"/>
      <c r="R212" s="29" t="str">
        <f aca="false">IF(OR(P212="",Q212="",Q212=0),"",P212/Q212)</f>
        <v/>
      </c>
      <c r="S212" s="30"/>
      <c r="T212" s="31" t="str">
        <f aca="false">IF(OR(AA212="",H212="",H212=0),"",AA212/H212-1)</f>
        <v/>
      </c>
      <c r="U212" s="31" t="str">
        <f aca="false">IF(OR(AB212="",I212="",I212=0),"",AB212/I212-1)</f>
        <v/>
      </c>
      <c r="V212" s="32" t="str">
        <f aca="false">IF(OR(J212="",IF(R212&lt;&gt;"",R212,N212)=""),"",(IF(R212&lt;&gt;"",R212,N212)-J212)*100)</f>
        <v/>
      </c>
      <c r="W212" s="33" t="str">
        <f aca="false">IF(OR(K212="",IF(S212&lt;&gt;"",S212,O212)=""),"",K212-IF(S212&lt;&gt;"",S212,O212))</f>
        <v/>
      </c>
      <c r="X212" s="34" t="str">
        <f aca="false">IF(F212="","",IF(E212="Redirected (301)",IF(AA212="","Pending","Redirected – see target"),IF(OR(AA212="",H212=""),"Pending",IF(H212=0,IF(AA212&gt;0,"Win","Neutral"),IF(AA212&gt;=H212*(1+'How to use'!$C$15),"Win",IF(AA212&lt;=H212*(1+'How to use'!$C$16),"Loss","Neutral"))))))</f>
        <v/>
      </c>
      <c r="Y212" s="35" t="str">
        <f aca="false">IF(OR(F212="",C212=""),"",IF(P212&lt;&gt;"","Done",IF(L212&lt;&gt;"",C212+'How to use'!$C$19+'How to use'!$C$17,C212+'How to use'!$C$18+'How to use'!$C$17)))</f>
        <v/>
      </c>
      <c r="Z212" s="9"/>
      <c r="AA212" s="36" t="str">
        <f aca="false">IF(P212&lt;&gt;"",P212,IF(L212&lt;&gt;"",L212,""))</f>
        <v/>
      </c>
      <c r="AB212" s="36" t="str">
        <f aca="false">IF(Q212&lt;&gt;"",Q212,IF(M212&lt;&gt;"",M212,""))</f>
        <v/>
      </c>
    </row>
    <row r="213" customFormat="false" ht="15" hidden="false" customHeight="false" outlineLevel="0" collapsed="false">
      <c r="A213" s="9"/>
      <c r="B213" s="9"/>
      <c r="C213" s="26"/>
      <c r="D213" s="9"/>
      <c r="E213" s="9"/>
      <c r="F213" s="9"/>
      <c r="G213" s="27"/>
      <c r="H213" s="28"/>
      <c r="I213" s="28"/>
      <c r="J213" s="29" t="str">
        <f aca="false">IF(OR(H213="",I213="",I213=0),"",H213/I213)</f>
        <v/>
      </c>
      <c r="K213" s="30"/>
      <c r="L213" s="28"/>
      <c r="M213" s="28"/>
      <c r="N213" s="29" t="str">
        <f aca="false">IF(OR(L213="",M213="",M213=0),"",L213/M213)</f>
        <v/>
      </c>
      <c r="O213" s="30"/>
      <c r="P213" s="28"/>
      <c r="Q213" s="28"/>
      <c r="R213" s="29" t="str">
        <f aca="false">IF(OR(P213="",Q213="",Q213=0),"",P213/Q213)</f>
        <v/>
      </c>
      <c r="S213" s="30"/>
      <c r="T213" s="31" t="str">
        <f aca="false">IF(OR(AA213="",H213="",H213=0),"",AA213/H213-1)</f>
        <v/>
      </c>
      <c r="U213" s="31" t="str">
        <f aca="false">IF(OR(AB213="",I213="",I213=0),"",AB213/I213-1)</f>
        <v/>
      </c>
      <c r="V213" s="32" t="str">
        <f aca="false">IF(OR(J213="",IF(R213&lt;&gt;"",R213,N213)=""),"",(IF(R213&lt;&gt;"",R213,N213)-J213)*100)</f>
        <v/>
      </c>
      <c r="W213" s="33" t="str">
        <f aca="false">IF(OR(K213="",IF(S213&lt;&gt;"",S213,O213)=""),"",K213-IF(S213&lt;&gt;"",S213,O213))</f>
        <v/>
      </c>
      <c r="X213" s="34" t="str">
        <f aca="false">IF(F213="","",IF(E213="Redirected (301)",IF(AA213="","Pending","Redirected – see target"),IF(OR(AA213="",H213=""),"Pending",IF(H213=0,IF(AA213&gt;0,"Win","Neutral"),IF(AA213&gt;=H213*(1+'How to use'!$C$15),"Win",IF(AA213&lt;=H213*(1+'How to use'!$C$16),"Loss","Neutral"))))))</f>
        <v/>
      </c>
      <c r="Y213" s="35" t="str">
        <f aca="false">IF(OR(F213="",C213=""),"",IF(P213&lt;&gt;"","Done",IF(L213&lt;&gt;"",C213+'How to use'!$C$19+'How to use'!$C$17,C213+'How to use'!$C$18+'How to use'!$C$17)))</f>
        <v/>
      </c>
      <c r="Z213" s="9"/>
      <c r="AA213" s="36" t="str">
        <f aca="false">IF(P213&lt;&gt;"",P213,IF(L213&lt;&gt;"",L213,""))</f>
        <v/>
      </c>
      <c r="AB213" s="36" t="str">
        <f aca="false">IF(Q213&lt;&gt;"",Q213,IF(M213&lt;&gt;"",M213,""))</f>
        <v/>
      </c>
    </row>
    <row r="214" customFormat="false" ht="15" hidden="false" customHeight="false" outlineLevel="0" collapsed="false">
      <c r="A214" s="9"/>
      <c r="B214" s="9"/>
      <c r="C214" s="26"/>
      <c r="D214" s="9"/>
      <c r="E214" s="9"/>
      <c r="F214" s="9"/>
      <c r="G214" s="27"/>
      <c r="H214" s="28"/>
      <c r="I214" s="28"/>
      <c r="J214" s="29" t="str">
        <f aca="false">IF(OR(H214="",I214="",I214=0),"",H214/I214)</f>
        <v/>
      </c>
      <c r="K214" s="30"/>
      <c r="L214" s="28"/>
      <c r="M214" s="28"/>
      <c r="N214" s="29" t="str">
        <f aca="false">IF(OR(L214="",M214="",M214=0),"",L214/M214)</f>
        <v/>
      </c>
      <c r="O214" s="30"/>
      <c r="P214" s="28"/>
      <c r="Q214" s="28"/>
      <c r="R214" s="29" t="str">
        <f aca="false">IF(OR(P214="",Q214="",Q214=0),"",P214/Q214)</f>
        <v/>
      </c>
      <c r="S214" s="30"/>
      <c r="T214" s="31" t="str">
        <f aca="false">IF(OR(AA214="",H214="",H214=0),"",AA214/H214-1)</f>
        <v/>
      </c>
      <c r="U214" s="31" t="str">
        <f aca="false">IF(OR(AB214="",I214="",I214=0),"",AB214/I214-1)</f>
        <v/>
      </c>
      <c r="V214" s="32" t="str">
        <f aca="false">IF(OR(J214="",IF(R214&lt;&gt;"",R214,N214)=""),"",(IF(R214&lt;&gt;"",R214,N214)-J214)*100)</f>
        <v/>
      </c>
      <c r="W214" s="33" t="str">
        <f aca="false">IF(OR(K214="",IF(S214&lt;&gt;"",S214,O214)=""),"",K214-IF(S214&lt;&gt;"",S214,O214))</f>
        <v/>
      </c>
      <c r="X214" s="34" t="str">
        <f aca="false">IF(F214="","",IF(E214="Redirected (301)",IF(AA214="","Pending","Redirected – see target"),IF(OR(AA214="",H214=""),"Pending",IF(H214=0,IF(AA214&gt;0,"Win","Neutral"),IF(AA214&gt;=H214*(1+'How to use'!$C$15),"Win",IF(AA214&lt;=H214*(1+'How to use'!$C$16),"Loss","Neutral"))))))</f>
        <v/>
      </c>
      <c r="Y214" s="35" t="str">
        <f aca="false">IF(OR(F214="",C214=""),"",IF(P214&lt;&gt;"","Done",IF(L214&lt;&gt;"",C214+'How to use'!$C$19+'How to use'!$C$17,C214+'How to use'!$C$18+'How to use'!$C$17)))</f>
        <v/>
      </c>
      <c r="Z214" s="9"/>
      <c r="AA214" s="36" t="str">
        <f aca="false">IF(P214&lt;&gt;"",P214,IF(L214&lt;&gt;"",L214,""))</f>
        <v/>
      </c>
      <c r="AB214" s="36" t="str">
        <f aca="false">IF(Q214&lt;&gt;"",Q214,IF(M214&lt;&gt;"",M214,""))</f>
        <v/>
      </c>
    </row>
    <row r="215" customFormat="false" ht="15" hidden="false" customHeight="false" outlineLevel="0" collapsed="false">
      <c r="A215" s="9"/>
      <c r="B215" s="9"/>
      <c r="C215" s="26"/>
      <c r="D215" s="9"/>
      <c r="E215" s="9"/>
      <c r="F215" s="9"/>
      <c r="G215" s="27"/>
      <c r="H215" s="28"/>
      <c r="I215" s="28"/>
      <c r="J215" s="29" t="str">
        <f aca="false">IF(OR(H215="",I215="",I215=0),"",H215/I215)</f>
        <v/>
      </c>
      <c r="K215" s="30"/>
      <c r="L215" s="28"/>
      <c r="M215" s="28"/>
      <c r="N215" s="29" t="str">
        <f aca="false">IF(OR(L215="",M215="",M215=0),"",L215/M215)</f>
        <v/>
      </c>
      <c r="O215" s="30"/>
      <c r="P215" s="28"/>
      <c r="Q215" s="28"/>
      <c r="R215" s="29" t="str">
        <f aca="false">IF(OR(P215="",Q215="",Q215=0),"",P215/Q215)</f>
        <v/>
      </c>
      <c r="S215" s="30"/>
      <c r="T215" s="31" t="str">
        <f aca="false">IF(OR(AA215="",H215="",H215=0),"",AA215/H215-1)</f>
        <v/>
      </c>
      <c r="U215" s="31" t="str">
        <f aca="false">IF(OR(AB215="",I215="",I215=0),"",AB215/I215-1)</f>
        <v/>
      </c>
      <c r="V215" s="32" t="str">
        <f aca="false">IF(OR(J215="",IF(R215&lt;&gt;"",R215,N215)=""),"",(IF(R215&lt;&gt;"",R215,N215)-J215)*100)</f>
        <v/>
      </c>
      <c r="W215" s="33" t="str">
        <f aca="false">IF(OR(K215="",IF(S215&lt;&gt;"",S215,O215)=""),"",K215-IF(S215&lt;&gt;"",S215,O215))</f>
        <v/>
      </c>
      <c r="X215" s="34" t="str">
        <f aca="false">IF(F215="","",IF(E215="Redirected (301)",IF(AA215="","Pending","Redirected – see target"),IF(OR(AA215="",H215=""),"Pending",IF(H215=0,IF(AA215&gt;0,"Win","Neutral"),IF(AA215&gt;=H215*(1+'How to use'!$C$15),"Win",IF(AA215&lt;=H215*(1+'How to use'!$C$16),"Loss","Neutral"))))))</f>
        <v/>
      </c>
      <c r="Y215" s="35" t="str">
        <f aca="false">IF(OR(F215="",C215=""),"",IF(P215&lt;&gt;"","Done",IF(L215&lt;&gt;"",C215+'How to use'!$C$19+'How to use'!$C$17,C215+'How to use'!$C$18+'How to use'!$C$17)))</f>
        <v/>
      </c>
      <c r="Z215" s="9"/>
      <c r="AA215" s="36" t="str">
        <f aca="false">IF(P215&lt;&gt;"",P215,IF(L215&lt;&gt;"",L215,""))</f>
        <v/>
      </c>
      <c r="AB215" s="36" t="str">
        <f aca="false">IF(Q215&lt;&gt;"",Q215,IF(M215&lt;&gt;"",M215,""))</f>
        <v/>
      </c>
    </row>
    <row r="216" customFormat="false" ht="15" hidden="false" customHeight="false" outlineLevel="0" collapsed="false">
      <c r="A216" s="9"/>
      <c r="B216" s="9"/>
      <c r="C216" s="26"/>
      <c r="D216" s="9"/>
      <c r="E216" s="9"/>
      <c r="F216" s="9"/>
      <c r="G216" s="27"/>
      <c r="H216" s="28"/>
      <c r="I216" s="28"/>
      <c r="J216" s="29" t="str">
        <f aca="false">IF(OR(H216="",I216="",I216=0),"",H216/I216)</f>
        <v/>
      </c>
      <c r="K216" s="30"/>
      <c r="L216" s="28"/>
      <c r="M216" s="28"/>
      <c r="N216" s="29" t="str">
        <f aca="false">IF(OR(L216="",M216="",M216=0),"",L216/M216)</f>
        <v/>
      </c>
      <c r="O216" s="30"/>
      <c r="P216" s="28"/>
      <c r="Q216" s="28"/>
      <c r="R216" s="29" t="str">
        <f aca="false">IF(OR(P216="",Q216="",Q216=0),"",P216/Q216)</f>
        <v/>
      </c>
      <c r="S216" s="30"/>
      <c r="T216" s="31" t="str">
        <f aca="false">IF(OR(AA216="",H216="",H216=0),"",AA216/H216-1)</f>
        <v/>
      </c>
      <c r="U216" s="31" t="str">
        <f aca="false">IF(OR(AB216="",I216="",I216=0),"",AB216/I216-1)</f>
        <v/>
      </c>
      <c r="V216" s="32" t="str">
        <f aca="false">IF(OR(J216="",IF(R216&lt;&gt;"",R216,N216)=""),"",(IF(R216&lt;&gt;"",R216,N216)-J216)*100)</f>
        <v/>
      </c>
      <c r="W216" s="33" t="str">
        <f aca="false">IF(OR(K216="",IF(S216&lt;&gt;"",S216,O216)=""),"",K216-IF(S216&lt;&gt;"",S216,O216))</f>
        <v/>
      </c>
      <c r="X216" s="34" t="str">
        <f aca="false">IF(F216="","",IF(E216="Redirected (301)",IF(AA216="","Pending","Redirected – see target"),IF(OR(AA216="",H216=""),"Pending",IF(H216=0,IF(AA216&gt;0,"Win","Neutral"),IF(AA216&gt;=H216*(1+'How to use'!$C$15),"Win",IF(AA216&lt;=H216*(1+'How to use'!$C$16),"Loss","Neutral"))))))</f>
        <v/>
      </c>
      <c r="Y216" s="35" t="str">
        <f aca="false">IF(OR(F216="",C216=""),"",IF(P216&lt;&gt;"","Done",IF(L216&lt;&gt;"",C216+'How to use'!$C$19+'How to use'!$C$17,C216+'How to use'!$C$18+'How to use'!$C$17)))</f>
        <v/>
      </c>
      <c r="Z216" s="9"/>
      <c r="AA216" s="36" t="str">
        <f aca="false">IF(P216&lt;&gt;"",P216,IF(L216&lt;&gt;"",L216,""))</f>
        <v/>
      </c>
      <c r="AB216" s="36" t="str">
        <f aca="false">IF(Q216&lt;&gt;"",Q216,IF(M216&lt;&gt;"",M216,""))</f>
        <v/>
      </c>
    </row>
    <row r="217" customFormat="false" ht="15" hidden="false" customHeight="false" outlineLevel="0" collapsed="false">
      <c r="A217" s="9"/>
      <c r="B217" s="9"/>
      <c r="C217" s="26"/>
      <c r="D217" s="9"/>
      <c r="E217" s="9"/>
      <c r="F217" s="9"/>
      <c r="G217" s="27"/>
      <c r="H217" s="28"/>
      <c r="I217" s="28"/>
      <c r="J217" s="29" t="str">
        <f aca="false">IF(OR(H217="",I217="",I217=0),"",H217/I217)</f>
        <v/>
      </c>
      <c r="K217" s="30"/>
      <c r="L217" s="28"/>
      <c r="M217" s="28"/>
      <c r="N217" s="29" t="str">
        <f aca="false">IF(OR(L217="",M217="",M217=0),"",L217/M217)</f>
        <v/>
      </c>
      <c r="O217" s="30"/>
      <c r="P217" s="28"/>
      <c r="Q217" s="28"/>
      <c r="R217" s="29" t="str">
        <f aca="false">IF(OR(P217="",Q217="",Q217=0),"",P217/Q217)</f>
        <v/>
      </c>
      <c r="S217" s="30"/>
      <c r="T217" s="31" t="str">
        <f aca="false">IF(OR(AA217="",H217="",H217=0),"",AA217/H217-1)</f>
        <v/>
      </c>
      <c r="U217" s="31" t="str">
        <f aca="false">IF(OR(AB217="",I217="",I217=0),"",AB217/I217-1)</f>
        <v/>
      </c>
      <c r="V217" s="32" t="str">
        <f aca="false">IF(OR(J217="",IF(R217&lt;&gt;"",R217,N217)=""),"",(IF(R217&lt;&gt;"",R217,N217)-J217)*100)</f>
        <v/>
      </c>
      <c r="W217" s="33" t="str">
        <f aca="false">IF(OR(K217="",IF(S217&lt;&gt;"",S217,O217)=""),"",K217-IF(S217&lt;&gt;"",S217,O217))</f>
        <v/>
      </c>
      <c r="X217" s="34" t="str">
        <f aca="false">IF(F217="","",IF(E217="Redirected (301)",IF(AA217="","Pending","Redirected – see target"),IF(OR(AA217="",H217=""),"Pending",IF(H217=0,IF(AA217&gt;0,"Win","Neutral"),IF(AA217&gt;=H217*(1+'How to use'!$C$15),"Win",IF(AA217&lt;=H217*(1+'How to use'!$C$16),"Loss","Neutral"))))))</f>
        <v/>
      </c>
      <c r="Y217" s="35" t="str">
        <f aca="false">IF(OR(F217="",C217=""),"",IF(P217&lt;&gt;"","Done",IF(L217&lt;&gt;"",C217+'How to use'!$C$19+'How to use'!$C$17,C217+'How to use'!$C$18+'How to use'!$C$17)))</f>
        <v/>
      </c>
      <c r="Z217" s="9"/>
      <c r="AA217" s="36" t="str">
        <f aca="false">IF(P217&lt;&gt;"",P217,IF(L217&lt;&gt;"",L217,""))</f>
        <v/>
      </c>
      <c r="AB217" s="36" t="str">
        <f aca="false">IF(Q217&lt;&gt;"",Q217,IF(M217&lt;&gt;"",M217,""))</f>
        <v/>
      </c>
    </row>
    <row r="218" customFormat="false" ht="15" hidden="false" customHeight="false" outlineLevel="0" collapsed="false">
      <c r="A218" s="9"/>
      <c r="B218" s="9"/>
      <c r="C218" s="26"/>
      <c r="D218" s="9"/>
      <c r="E218" s="9"/>
      <c r="F218" s="9"/>
      <c r="G218" s="27"/>
      <c r="H218" s="28"/>
      <c r="I218" s="28"/>
      <c r="J218" s="29" t="str">
        <f aca="false">IF(OR(H218="",I218="",I218=0),"",H218/I218)</f>
        <v/>
      </c>
      <c r="K218" s="30"/>
      <c r="L218" s="28"/>
      <c r="M218" s="28"/>
      <c r="N218" s="29" t="str">
        <f aca="false">IF(OR(L218="",M218="",M218=0),"",L218/M218)</f>
        <v/>
      </c>
      <c r="O218" s="30"/>
      <c r="P218" s="28"/>
      <c r="Q218" s="28"/>
      <c r="R218" s="29" t="str">
        <f aca="false">IF(OR(P218="",Q218="",Q218=0),"",P218/Q218)</f>
        <v/>
      </c>
      <c r="S218" s="30"/>
      <c r="T218" s="31" t="str">
        <f aca="false">IF(OR(AA218="",H218="",H218=0),"",AA218/H218-1)</f>
        <v/>
      </c>
      <c r="U218" s="31" t="str">
        <f aca="false">IF(OR(AB218="",I218="",I218=0),"",AB218/I218-1)</f>
        <v/>
      </c>
      <c r="V218" s="32" t="str">
        <f aca="false">IF(OR(J218="",IF(R218&lt;&gt;"",R218,N218)=""),"",(IF(R218&lt;&gt;"",R218,N218)-J218)*100)</f>
        <v/>
      </c>
      <c r="W218" s="33" t="str">
        <f aca="false">IF(OR(K218="",IF(S218&lt;&gt;"",S218,O218)=""),"",K218-IF(S218&lt;&gt;"",S218,O218))</f>
        <v/>
      </c>
      <c r="X218" s="34" t="str">
        <f aca="false">IF(F218="","",IF(E218="Redirected (301)",IF(AA218="","Pending","Redirected – see target"),IF(OR(AA218="",H218=""),"Pending",IF(H218=0,IF(AA218&gt;0,"Win","Neutral"),IF(AA218&gt;=H218*(1+'How to use'!$C$15),"Win",IF(AA218&lt;=H218*(1+'How to use'!$C$16),"Loss","Neutral"))))))</f>
        <v/>
      </c>
      <c r="Y218" s="35" t="str">
        <f aca="false">IF(OR(F218="",C218=""),"",IF(P218&lt;&gt;"","Done",IF(L218&lt;&gt;"",C218+'How to use'!$C$19+'How to use'!$C$17,C218+'How to use'!$C$18+'How to use'!$C$17)))</f>
        <v/>
      </c>
      <c r="Z218" s="9"/>
      <c r="AA218" s="36" t="str">
        <f aca="false">IF(P218&lt;&gt;"",P218,IF(L218&lt;&gt;"",L218,""))</f>
        <v/>
      </c>
      <c r="AB218" s="36" t="str">
        <f aca="false">IF(Q218&lt;&gt;"",Q218,IF(M218&lt;&gt;"",M218,""))</f>
        <v/>
      </c>
    </row>
    <row r="219" customFormat="false" ht="15" hidden="false" customHeight="false" outlineLevel="0" collapsed="false">
      <c r="A219" s="9"/>
      <c r="B219" s="9"/>
      <c r="C219" s="26"/>
      <c r="D219" s="9"/>
      <c r="E219" s="9"/>
      <c r="F219" s="9"/>
      <c r="G219" s="27"/>
      <c r="H219" s="28"/>
      <c r="I219" s="28"/>
      <c r="J219" s="29" t="str">
        <f aca="false">IF(OR(H219="",I219="",I219=0),"",H219/I219)</f>
        <v/>
      </c>
      <c r="K219" s="30"/>
      <c r="L219" s="28"/>
      <c r="M219" s="28"/>
      <c r="N219" s="29" t="str">
        <f aca="false">IF(OR(L219="",M219="",M219=0),"",L219/M219)</f>
        <v/>
      </c>
      <c r="O219" s="30"/>
      <c r="P219" s="28"/>
      <c r="Q219" s="28"/>
      <c r="R219" s="29" t="str">
        <f aca="false">IF(OR(P219="",Q219="",Q219=0),"",P219/Q219)</f>
        <v/>
      </c>
      <c r="S219" s="30"/>
      <c r="T219" s="31" t="str">
        <f aca="false">IF(OR(AA219="",H219="",H219=0),"",AA219/H219-1)</f>
        <v/>
      </c>
      <c r="U219" s="31" t="str">
        <f aca="false">IF(OR(AB219="",I219="",I219=0),"",AB219/I219-1)</f>
        <v/>
      </c>
      <c r="V219" s="32" t="str">
        <f aca="false">IF(OR(J219="",IF(R219&lt;&gt;"",R219,N219)=""),"",(IF(R219&lt;&gt;"",R219,N219)-J219)*100)</f>
        <v/>
      </c>
      <c r="W219" s="33" t="str">
        <f aca="false">IF(OR(K219="",IF(S219&lt;&gt;"",S219,O219)=""),"",K219-IF(S219&lt;&gt;"",S219,O219))</f>
        <v/>
      </c>
      <c r="X219" s="34" t="str">
        <f aca="false">IF(F219="","",IF(E219="Redirected (301)",IF(AA219="","Pending","Redirected – see target"),IF(OR(AA219="",H219=""),"Pending",IF(H219=0,IF(AA219&gt;0,"Win","Neutral"),IF(AA219&gt;=H219*(1+'How to use'!$C$15),"Win",IF(AA219&lt;=H219*(1+'How to use'!$C$16),"Loss","Neutral"))))))</f>
        <v/>
      </c>
      <c r="Y219" s="35" t="str">
        <f aca="false">IF(OR(F219="",C219=""),"",IF(P219&lt;&gt;"","Done",IF(L219&lt;&gt;"",C219+'How to use'!$C$19+'How to use'!$C$17,C219+'How to use'!$C$18+'How to use'!$C$17)))</f>
        <v/>
      </c>
      <c r="Z219" s="9"/>
      <c r="AA219" s="36" t="str">
        <f aca="false">IF(P219&lt;&gt;"",P219,IF(L219&lt;&gt;"",L219,""))</f>
        <v/>
      </c>
      <c r="AB219" s="36" t="str">
        <f aca="false">IF(Q219&lt;&gt;"",Q219,IF(M219&lt;&gt;"",M219,""))</f>
        <v/>
      </c>
    </row>
    <row r="220" customFormat="false" ht="15" hidden="false" customHeight="false" outlineLevel="0" collapsed="false">
      <c r="A220" s="9"/>
      <c r="B220" s="9"/>
      <c r="C220" s="26"/>
      <c r="D220" s="9"/>
      <c r="E220" s="9"/>
      <c r="F220" s="9"/>
      <c r="G220" s="27"/>
      <c r="H220" s="28"/>
      <c r="I220" s="28"/>
      <c r="J220" s="29" t="str">
        <f aca="false">IF(OR(H220="",I220="",I220=0),"",H220/I220)</f>
        <v/>
      </c>
      <c r="K220" s="30"/>
      <c r="L220" s="28"/>
      <c r="M220" s="28"/>
      <c r="N220" s="29" t="str">
        <f aca="false">IF(OR(L220="",M220="",M220=0),"",L220/M220)</f>
        <v/>
      </c>
      <c r="O220" s="30"/>
      <c r="P220" s="28"/>
      <c r="Q220" s="28"/>
      <c r="R220" s="29" t="str">
        <f aca="false">IF(OR(P220="",Q220="",Q220=0),"",P220/Q220)</f>
        <v/>
      </c>
      <c r="S220" s="30"/>
      <c r="T220" s="31" t="str">
        <f aca="false">IF(OR(AA220="",H220="",H220=0),"",AA220/H220-1)</f>
        <v/>
      </c>
      <c r="U220" s="31" t="str">
        <f aca="false">IF(OR(AB220="",I220="",I220=0),"",AB220/I220-1)</f>
        <v/>
      </c>
      <c r="V220" s="32" t="str">
        <f aca="false">IF(OR(J220="",IF(R220&lt;&gt;"",R220,N220)=""),"",(IF(R220&lt;&gt;"",R220,N220)-J220)*100)</f>
        <v/>
      </c>
      <c r="W220" s="33" t="str">
        <f aca="false">IF(OR(K220="",IF(S220&lt;&gt;"",S220,O220)=""),"",K220-IF(S220&lt;&gt;"",S220,O220))</f>
        <v/>
      </c>
      <c r="X220" s="34" t="str">
        <f aca="false">IF(F220="","",IF(E220="Redirected (301)",IF(AA220="","Pending","Redirected – see target"),IF(OR(AA220="",H220=""),"Pending",IF(H220=0,IF(AA220&gt;0,"Win","Neutral"),IF(AA220&gt;=H220*(1+'How to use'!$C$15),"Win",IF(AA220&lt;=H220*(1+'How to use'!$C$16),"Loss","Neutral"))))))</f>
        <v/>
      </c>
      <c r="Y220" s="35" t="str">
        <f aca="false">IF(OR(F220="",C220=""),"",IF(P220&lt;&gt;"","Done",IF(L220&lt;&gt;"",C220+'How to use'!$C$19+'How to use'!$C$17,C220+'How to use'!$C$18+'How to use'!$C$17)))</f>
        <v/>
      </c>
      <c r="Z220" s="9"/>
      <c r="AA220" s="36" t="str">
        <f aca="false">IF(P220&lt;&gt;"",P220,IF(L220&lt;&gt;"",L220,""))</f>
        <v/>
      </c>
      <c r="AB220" s="36" t="str">
        <f aca="false">IF(Q220&lt;&gt;"",Q220,IF(M220&lt;&gt;"",M220,""))</f>
        <v/>
      </c>
    </row>
    <row r="221" customFormat="false" ht="15" hidden="false" customHeight="false" outlineLevel="0" collapsed="false">
      <c r="A221" s="9"/>
      <c r="B221" s="9"/>
      <c r="C221" s="26"/>
      <c r="D221" s="9"/>
      <c r="E221" s="9"/>
      <c r="F221" s="9"/>
      <c r="G221" s="27"/>
      <c r="H221" s="28"/>
      <c r="I221" s="28"/>
      <c r="J221" s="29" t="str">
        <f aca="false">IF(OR(H221="",I221="",I221=0),"",H221/I221)</f>
        <v/>
      </c>
      <c r="K221" s="30"/>
      <c r="L221" s="28"/>
      <c r="M221" s="28"/>
      <c r="N221" s="29" t="str">
        <f aca="false">IF(OR(L221="",M221="",M221=0),"",L221/M221)</f>
        <v/>
      </c>
      <c r="O221" s="30"/>
      <c r="P221" s="28"/>
      <c r="Q221" s="28"/>
      <c r="R221" s="29" t="str">
        <f aca="false">IF(OR(P221="",Q221="",Q221=0),"",P221/Q221)</f>
        <v/>
      </c>
      <c r="S221" s="30"/>
      <c r="T221" s="31" t="str">
        <f aca="false">IF(OR(AA221="",H221="",H221=0),"",AA221/H221-1)</f>
        <v/>
      </c>
      <c r="U221" s="31" t="str">
        <f aca="false">IF(OR(AB221="",I221="",I221=0),"",AB221/I221-1)</f>
        <v/>
      </c>
      <c r="V221" s="32" t="str">
        <f aca="false">IF(OR(J221="",IF(R221&lt;&gt;"",R221,N221)=""),"",(IF(R221&lt;&gt;"",R221,N221)-J221)*100)</f>
        <v/>
      </c>
      <c r="W221" s="33" t="str">
        <f aca="false">IF(OR(K221="",IF(S221&lt;&gt;"",S221,O221)=""),"",K221-IF(S221&lt;&gt;"",S221,O221))</f>
        <v/>
      </c>
      <c r="X221" s="34" t="str">
        <f aca="false">IF(F221="","",IF(E221="Redirected (301)",IF(AA221="","Pending","Redirected – see target"),IF(OR(AA221="",H221=""),"Pending",IF(H221=0,IF(AA221&gt;0,"Win","Neutral"),IF(AA221&gt;=H221*(1+'How to use'!$C$15),"Win",IF(AA221&lt;=H221*(1+'How to use'!$C$16),"Loss","Neutral"))))))</f>
        <v/>
      </c>
      <c r="Y221" s="35" t="str">
        <f aca="false">IF(OR(F221="",C221=""),"",IF(P221&lt;&gt;"","Done",IF(L221&lt;&gt;"",C221+'How to use'!$C$19+'How to use'!$C$17,C221+'How to use'!$C$18+'How to use'!$C$17)))</f>
        <v/>
      </c>
      <c r="Z221" s="9"/>
      <c r="AA221" s="36" t="str">
        <f aca="false">IF(P221&lt;&gt;"",P221,IF(L221&lt;&gt;"",L221,""))</f>
        <v/>
      </c>
      <c r="AB221" s="36" t="str">
        <f aca="false">IF(Q221&lt;&gt;"",Q221,IF(M221&lt;&gt;"",M221,""))</f>
        <v/>
      </c>
    </row>
    <row r="222" customFormat="false" ht="15" hidden="false" customHeight="false" outlineLevel="0" collapsed="false">
      <c r="A222" s="9"/>
      <c r="B222" s="9"/>
      <c r="C222" s="26"/>
      <c r="D222" s="9"/>
      <c r="E222" s="9"/>
      <c r="F222" s="9"/>
      <c r="G222" s="27"/>
      <c r="H222" s="28"/>
      <c r="I222" s="28"/>
      <c r="J222" s="29" t="str">
        <f aca="false">IF(OR(H222="",I222="",I222=0),"",H222/I222)</f>
        <v/>
      </c>
      <c r="K222" s="30"/>
      <c r="L222" s="28"/>
      <c r="M222" s="28"/>
      <c r="N222" s="29" t="str">
        <f aca="false">IF(OR(L222="",M222="",M222=0),"",L222/M222)</f>
        <v/>
      </c>
      <c r="O222" s="30"/>
      <c r="P222" s="28"/>
      <c r="Q222" s="28"/>
      <c r="R222" s="29" t="str">
        <f aca="false">IF(OR(P222="",Q222="",Q222=0),"",P222/Q222)</f>
        <v/>
      </c>
      <c r="S222" s="30"/>
      <c r="T222" s="31" t="str">
        <f aca="false">IF(OR(AA222="",H222="",H222=0),"",AA222/H222-1)</f>
        <v/>
      </c>
      <c r="U222" s="31" t="str">
        <f aca="false">IF(OR(AB222="",I222="",I222=0),"",AB222/I222-1)</f>
        <v/>
      </c>
      <c r="V222" s="32" t="str">
        <f aca="false">IF(OR(J222="",IF(R222&lt;&gt;"",R222,N222)=""),"",(IF(R222&lt;&gt;"",R222,N222)-J222)*100)</f>
        <v/>
      </c>
      <c r="W222" s="33" t="str">
        <f aca="false">IF(OR(K222="",IF(S222&lt;&gt;"",S222,O222)=""),"",K222-IF(S222&lt;&gt;"",S222,O222))</f>
        <v/>
      </c>
      <c r="X222" s="34" t="str">
        <f aca="false">IF(F222="","",IF(E222="Redirected (301)",IF(AA222="","Pending","Redirected – see target"),IF(OR(AA222="",H222=""),"Pending",IF(H222=0,IF(AA222&gt;0,"Win","Neutral"),IF(AA222&gt;=H222*(1+'How to use'!$C$15),"Win",IF(AA222&lt;=H222*(1+'How to use'!$C$16),"Loss","Neutral"))))))</f>
        <v/>
      </c>
      <c r="Y222" s="35" t="str">
        <f aca="false">IF(OR(F222="",C222=""),"",IF(P222&lt;&gt;"","Done",IF(L222&lt;&gt;"",C222+'How to use'!$C$19+'How to use'!$C$17,C222+'How to use'!$C$18+'How to use'!$C$17)))</f>
        <v/>
      </c>
      <c r="Z222" s="9"/>
      <c r="AA222" s="36" t="str">
        <f aca="false">IF(P222&lt;&gt;"",P222,IF(L222&lt;&gt;"",L222,""))</f>
        <v/>
      </c>
      <c r="AB222" s="36" t="str">
        <f aca="false">IF(Q222&lt;&gt;"",Q222,IF(M222&lt;&gt;"",M222,""))</f>
        <v/>
      </c>
    </row>
    <row r="223" customFormat="false" ht="15" hidden="false" customHeight="false" outlineLevel="0" collapsed="false">
      <c r="A223" s="9"/>
      <c r="B223" s="9"/>
      <c r="C223" s="26"/>
      <c r="D223" s="9"/>
      <c r="E223" s="9"/>
      <c r="F223" s="9"/>
      <c r="G223" s="27"/>
      <c r="H223" s="28"/>
      <c r="I223" s="28"/>
      <c r="J223" s="29" t="str">
        <f aca="false">IF(OR(H223="",I223="",I223=0),"",H223/I223)</f>
        <v/>
      </c>
      <c r="K223" s="30"/>
      <c r="L223" s="28"/>
      <c r="M223" s="28"/>
      <c r="N223" s="29" t="str">
        <f aca="false">IF(OR(L223="",M223="",M223=0),"",L223/M223)</f>
        <v/>
      </c>
      <c r="O223" s="30"/>
      <c r="P223" s="28"/>
      <c r="Q223" s="28"/>
      <c r="R223" s="29" t="str">
        <f aca="false">IF(OR(P223="",Q223="",Q223=0),"",P223/Q223)</f>
        <v/>
      </c>
      <c r="S223" s="30"/>
      <c r="T223" s="31" t="str">
        <f aca="false">IF(OR(AA223="",H223="",H223=0),"",AA223/H223-1)</f>
        <v/>
      </c>
      <c r="U223" s="31" t="str">
        <f aca="false">IF(OR(AB223="",I223="",I223=0),"",AB223/I223-1)</f>
        <v/>
      </c>
      <c r="V223" s="32" t="str">
        <f aca="false">IF(OR(J223="",IF(R223&lt;&gt;"",R223,N223)=""),"",(IF(R223&lt;&gt;"",R223,N223)-J223)*100)</f>
        <v/>
      </c>
      <c r="W223" s="33" t="str">
        <f aca="false">IF(OR(K223="",IF(S223&lt;&gt;"",S223,O223)=""),"",K223-IF(S223&lt;&gt;"",S223,O223))</f>
        <v/>
      </c>
      <c r="X223" s="34" t="str">
        <f aca="false">IF(F223="","",IF(E223="Redirected (301)",IF(AA223="","Pending","Redirected – see target"),IF(OR(AA223="",H223=""),"Pending",IF(H223=0,IF(AA223&gt;0,"Win","Neutral"),IF(AA223&gt;=H223*(1+'How to use'!$C$15),"Win",IF(AA223&lt;=H223*(1+'How to use'!$C$16),"Loss","Neutral"))))))</f>
        <v/>
      </c>
      <c r="Y223" s="35" t="str">
        <f aca="false">IF(OR(F223="",C223=""),"",IF(P223&lt;&gt;"","Done",IF(L223&lt;&gt;"",C223+'How to use'!$C$19+'How to use'!$C$17,C223+'How to use'!$C$18+'How to use'!$C$17)))</f>
        <v/>
      </c>
      <c r="Z223" s="9"/>
      <c r="AA223" s="36" t="str">
        <f aca="false">IF(P223&lt;&gt;"",P223,IF(L223&lt;&gt;"",L223,""))</f>
        <v/>
      </c>
      <c r="AB223" s="36" t="str">
        <f aca="false">IF(Q223&lt;&gt;"",Q223,IF(M223&lt;&gt;"",M223,""))</f>
        <v/>
      </c>
    </row>
    <row r="224" customFormat="false" ht="15" hidden="false" customHeight="false" outlineLevel="0" collapsed="false">
      <c r="A224" s="9"/>
      <c r="B224" s="9"/>
      <c r="C224" s="26"/>
      <c r="D224" s="9"/>
      <c r="E224" s="9"/>
      <c r="F224" s="9"/>
      <c r="G224" s="27"/>
      <c r="H224" s="28"/>
      <c r="I224" s="28"/>
      <c r="J224" s="29" t="str">
        <f aca="false">IF(OR(H224="",I224="",I224=0),"",H224/I224)</f>
        <v/>
      </c>
      <c r="K224" s="30"/>
      <c r="L224" s="28"/>
      <c r="M224" s="28"/>
      <c r="N224" s="29" t="str">
        <f aca="false">IF(OR(L224="",M224="",M224=0),"",L224/M224)</f>
        <v/>
      </c>
      <c r="O224" s="30"/>
      <c r="P224" s="28"/>
      <c r="Q224" s="28"/>
      <c r="R224" s="29" t="str">
        <f aca="false">IF(OR(P224="",Q224="",Q224=0),"",P224/Q224)</f>
        <v/>
      </c>
      <c r="S224" s="30"/>
      <c r="T224" s="31" t="str">
        <f aca="false">IF(OR(AA224="",H224="",H224=0),"",AA224/H224-1)</f>
        <v/>
      </c>
      <c r="U224" s="31" t="str">
        <f aca="false">IF(OR(AB224="",I224="",I224=0),"",AB224/I224-1)</f>
        <v/>
      </c>
      <c r="V224" s="32" t="str">
        <f aca="false">IF(OR(J224="",IF(R224&lt;&gt;"",R224,N224)=""),"",(IF(R224&lt;&gt;"",R224,N224)-J224)*100)</f>
        <v/>
      </c>
      <c r="W224" s="33" t="str">
        <f aca="false">IF(OR(K224="",IF(S224&lt;&gt;"",S224,O224)=""),"",K224-IF(S224&lt;&gt;"",S224,O224))</f>
        <v/>
      </c>
      <c r="X224" s="34" t="str">
        <f aca="false">IF(F224="","",IF(E224="Redirected (301)",IF(AA224="","Pending","Redirected – see target"),IF(OR(AA224="",H224=""),"Pending",IF(H224=0,IF(AA224&gt;0,"Win","Neutral"),IF(AA224&gt;=H224*(1+'How to use'!$C$15),"Win",IF(AA224&lt;=H224*(1+'How to use'!$C$16),"Loss","Neutral"))))))</f>
        <v/>
      </c>
      <c r="Y224" s="35" t="str">
        <f aca="false">IF(OR(F224="",C224=""),"",IF(P224&lt;&gt;"","Done",IF(L224&lt;&gt;"",C224+'How to use'!$C$19+'How to use'!$C$17,C224+'How to use'!$C$18+'How to use'!$C$17)))</f>
        <v/>
      </c>
      <c r="Z224" s="9"/>
      <c r="AA224" s="36" t="str">
        <f aca="false">IF(P224&lt;&gt;"",P224,IF(L224&lt;&gt;"",L224,""))</f>
        <v/>
      </c>
      <c r="AB224" s="36" t="str">
        <f aca="false">IF(Q224&lt;&gt;"",Q224,IF(M224&lt;&gt;"",M224,""))</f>
        <v/>
      </c>
    </row>
    <row r="225" customFormat="false" ht="15" hidden="false" customHeight="false" outlineLevel="0" collapsed="false">
      <c r="A225" s="9"/>
      <c r="B225" s="9"/>
      <c r="C225" s="26"/>
      <c r="D225" s="9"/>
      <c r="E225" s="9"/>
      <c r="F225" s="9"/>
      <c r="G225" s="27"/>
      <c r="H225" s="28"/>
      <c r="I225" s="28"/>
      <c r="J225" s="29" t="str">
        <f aca="false">IF(OR(H225="",I225="",I225=0),"",H225/I225)</f>
        <v/>
      </c>
      <c r="K225" s="30"/>
      <c r="L225" s="28"/>
      <c r="M225" s="28"/>
      <c r="N225" s="29" t="str">
        <f aca="false">IF(OR(L225="",M225="",M225=0),"",L225/M225)</f>
        <v/>
      </c>
      <c r="O225" s="30"/>
      <c r="P225" s="28"/>
      <c r="Q225" s="28"/>
      <c r="R225" s="29" t="str">
        <f aca="false">IF(OR(P225="",Q225="",Q225=0),"",P225/Q225)</f>
        <v/>
      </c>
      <c r="S225" s="30"/>
      <c r="T225" s="31" t="str">
        <f aca="false">IF(OR(AA225="",H225="",H225=0),"",AA225/H225-1)</f>
        <v/>
      </c>
      <c r="U225" s="31" t="str">
        <f aca="false">IF(OR(AB225="",I225="",I225=0),"",AB225/I225-1)</f>
        <v/>
      </c>
      <c r="V225" s="32" t="str">
        <f aca="false">IF(OR(J225="",IF(R225&lt;&gt;"",R225,N225)=""),"",(IF(R225&lt;&gt;"",R225,N225)-J225)*100)</f>
        <v/>
      </c>
      <c r="W225" s="33" t="str">
        <f aca="false">IF(OR(K225="",IF(S225&lt;&gt;"",S225,O225)=""),"",K225-IF(S225&lt;&gt;"",S225,O225))</f>
        <v/>
      </c>
      <c r="X225" s="34" t="str">
        <f aca="false">IF(F225="","",IF(E225="Redirected (301)",IF(AA225="","Pending","Redirected – see target"),IF(OR(AA225="",H225=""),"Pending",IF(H225=0,IF(AA225&gt;0,"Win","Neutral"),IF(AA225&gt;=H225*(1+'How to use'!$C$15),"Win",IF(AA225&lt;=H225*(1+'How to use'!$C$16),"Loss","Neutral"))))))</f>
        <v/>
      </c>
      <c r="Y225" s="35" t="str">
        <f aca="false">IF(OR(F225="",C225=""),"",IF(P225&lt;&gt;"","Done",IF(L225&lt;&gt;"",C225+'How to use'!$C$19+'How to use'!$C$17,C225+'How to use'!$C$18+'How to use'!$C$17)))</f>
        <v/>
      </c>
      <c r="Z225" s="9"/>
      <c r="AA225" s="36" t="str">
        <f aca="false">IF(P225&lt;&gt;"",P225,IF(L225&lt;&gt;"",L225,""))</f>
        <v/>
      </c>
      <c r="AB225" s="36" t="str">
        <f aca="false">IF(Q225&lt;&gt;"",Q225,IF(M225&lt;&gt;"",M225,""))</f>
        <v/>
      </c>
    </row>
    <row r="226" customFormat="false" ht="15" hidden="false" customHeight="false" outlineLevel="0" collapsed="false">
      <c r="A226" s="9"/>
      <c r="B226" s="9"/>
      <c r="C226" s="26"/>
      <c r="D226" s="9"/>
      <c r="E226" s="9"/>
      <c r="F226" s="9"/>
      <c r="G226" s="27"/>
      <c r="H226" s="28"/>
      <c r="I226" s="28"/>
      <c r="J226" s="29" t="str">
        <f aca="false">IF(OR(H226="",I226="",I226=0),"",H226/I226)</f>
        <v/>
      </c>
      <c r="K226" s="30"/>
      <c r="L226" s="28"/>
      <c r="M226" s="28"/>
      <c r="N226" s="29" t="str">
        <f aca="false">IF(OR(L226="",M226="",M226=0),"",L226/M226)</f>
        <v/>
      </c>
      <c r="O226" s="30"/>
      <c r="P226" s="28"/>
      <c r="Q226" s="28"/>
      <c r="R226" s="29" t="str">
        <f aca="false">IF(OR(P226="",Q226="",Q226=0),"",P226/Q226)</f>
        <v/>
      </c>
      <c r="S226" s="30"/>
      <c r="T226" s="31" t="str">
        <f aca="false">IF(OR(AA226="",H226="",H226=0),"",AA226/H226-1)</f>
        <v/>
      </c>
      <c r="U226" s="31" t="str">
        <f aca="false">IF(OR(AB226="",I226="",I226=0),"",AB226/I226-1)</f>
        <v/>
      </c>
      <c r="V226" s="32" t="str">
        <f aca="false">IF(OR(J226="",IF(R226&lt;&gt;"",R226,N226)=""),"",(IF(R226&lt;&gt;"",R226,N226)-J226)*100)</f>
        <v/>
      </c>
      <c r="W226" s="33" t="str">
        <f aca="false">IF(OR(K226="",IF(S226&lt;&gt;"",S226,O226)=""),"",K226-IF(S226&lt;&gt;"",S226,O226))</f>
        <v/>
      </c>
      <c r="X226" s="34" t="str">
        <f aca="false">IF(F226="","",IF(E226="Redirected (301)",IF(AA226="","Pending","Redirected – see target"),IF(OR(AA226="",H226=""),"Pending",IF(H226=0,IF(AA226&gt;0,"Win","Neutral"),IF(AA226&gt;=H226*(1+'How to use'!$C$15),"Win",IF(AA226&lt;=H226*(1+'How to use'!$C$16),"Loss","Neutral"))))))</f>
        <v/>
      </c>
      <c r="Y226" s="35" t="str">
        <f aca="false">IF(OR(F226="",C226=""),"",IF(P226&lt;&gt;"","Done",IF(L226&lt;&gt;"",C226+'How to use'!$C$19+'How to use'!$C$17,C226+'How to use'!$C$18+'How to use'!$C$17)))</f>
        <v/>
      </c>
      <c r="Z226" s="9"/>
      <c r="AA226" s="36" t="str">
        <f aca="false">IF(P226&lt;&gt;"",P226,IF(L226&lt;&gt;"",L226,""))</f>
        <v/>
      </c>
      <c r="AB226" s="36" t="str">
        <f aca="false">IF(Q226&lt;&gt;"",Q226,IF(M226&lt;&gt;"",M226,""))</f>
        <v/>
      </c>
    </row>
    <row r="227" customFormat="false" ht="15" hidden="false" customHeight="false" outlineLevel="0" collapsed="false">
      <c r="A227" s="9"/>
      <c r="B227" s="9"/>
      <c r="C227" s="26"/>
      <c r="D227" s="9"/>
      <c r="E227" s="9"/>
      <c r="F227" s="9"/>
      <c r="G227" s="27"/>
      <c r="H227" s="28"/>
      <c r="I227" s="28"/>
      <c r="J227" s="29" t="str">
        <f aca="false">IF(OR(H227="",I227="",I227=0),"",H227/I227)</f>
        <v/>
      </c>
      <c r="K227" s="30"/>
      <c r="L227" s="28"/>
      <c r="M227" s="28"/>
      <c r="N227" s="29" t="str">
        <f aca="false">IF(OR(L227="",M227="",M227=0),"",L227/M227)</f>
        <v/>
      </c>
      <c r="O227" s="30"/>
      <c r="P227" s="28"/>
      <c r="Q227" s="28"/>
      <c r="R227" s="29" t="str">
        <f aca="false">IF(OR(P227="",Q227="",Q227=0),"",P227/Q227)</f>
        <v/>
      </c>
      <c r="S227" s="30"/>
      <c r="T227" s="31" t="str">
        <f aca="false">IF(OR(AA227="",H227="",H227=0),"",AA227/H227-1)</f>
        <v/>
      </c>
      <c r="U227" s="31" t="str">
        <f aca="false">IF(OR(AB227="",I227="",I227=0),"",AB227/I227-1)</f>
        <v/>
      </c>
      <c r="V227" s="32" t="str">
        <f aca="false">IF(OR(J227="",IF(R227&lt;&gt;"",R227,N227)=""),"",(IF(R227&lt;&gt;"",R227,N227)-J227)*100)</f>
        <v/>
      </c>
      <c r="W227" s="33" t="str">
        <f aca="false">IF(OR(K227="",IF(S227&lt;&gt;"",S227,O227)=""),"",K227-IF(S227&lt;&gt;"",S227,O227))</f>
        <v/>
      </c>
      <c r="X227" s="34" t="str">
        <f aca="false">IF(F227="","",IF(E227="Redirected (301)",IF(AA227="","Pending","Redirected – see target"),IF(OR(AA227="",H227=""),"Pending",IF(H227=0,IF(AA227&gt;0,"Win","Neutral"),IF(AA227&gt;=H227*(1+'How to use'!$C$15),"Win",IF(AA227&lt;=H227*(1+'How to use'!$C$16),"Loss","Neutral"))))))</f>
        <v/>
      </c>
      <c r="Y227" s="35" t="str">
        <f aca="false">IF(OR(F227="",C227=""),"",IF(P227&lt;&gt;"","Done",IF(L227&lt;&gt;"",C227+'How to use'!$C$19+'How to use'!$C$17,C227+'How to use'!$C$18+'How to use'!$C$17)))</f>
        <v/>
      </c>
      <c r="Z227" s="9"/>
      <c r="AA227" s="36" t="str">
        <f aca="false">IF(P227&lt;&gt;"",P227,IF(L227&lt;&gt;"",L227,""))</f>
        <v/>
      </c>
      <c r="AB227" s="36" t="str">
        <f aca="false">IF(Q227&lt;&gt;"",Q227,IF(M227&lt;&gt;"",M227,""))</f>
        <v/>
      </c>
    </row>
    <row r="228" customFormat="false" ht="15" hidden="false" customHeight="false" outlineLevel="0" collapsed="false">
      <c r="A228" s="9"/>
      <c r="B228" s="9"/>
      <c r="C228" s="26"/>
      <c r="D228" s="9"/>
      <c r="E228" s="9"/>
      <c r="F228" s="9"/>
      <c r="G228" s="27"/>
      <c r="H228" s="28"/>
      <c r="I228" s="28"/>
      <c r="J228" s="29" t="str">
        <f aca="false">IF(OR(H228="",I228="",I228=0),"",H228/I228)</f>
        <v/>
      </c>
      <c r="K228" s="30"/>
      <c r="L228" s="28"/>
      <c r="M228" s="28"/>
      <c r="N228" s="29" t="str">
        <f aca="false">IF(OR(L228="",M228="",M228=0),"",L228/M228)</f>
        <v/>
      </c>
      <c r="O228" s="30"/>
      <c r="P228" s="28"/>
      <c r="Q228" s="28"/>
      <c r="R228" s="29" t="str">
        <f aca="false">IF(OR(P228="",Q228="",Q228=0),"",P228/Q228)</f>
        <v/>
      </c>
      <c r="S228" s="30"/>
      <c r="T228" s="31" t="str">
        <f aca="false">IF(OR(AA228="",H228="",H228=0),"",AA228/H228-1)</f>
        <v/>
      </c>
      <c r="U228" s="31" t="str">
        <f aca="false">IF(OR(AB228="",I228="",I228=0),"",AB228/I228-1)</f>
        <v/>
      </c>
      <c r="V228" s="32" t="str">
        <f aca="false">IF(OR(J228="",IF(R228&lt;&gt;"",R228,N228)=""),"",(IF(R228&lt;&gt;"",R228,N228)-J228)*100)</f>
        <v/>
      </c>
      <c r="W228" s="33" t="str">
        <f aca="false">IF(OR(K228="",IF(S228&lt;&gt;"",S228,O228)=""),"",K228-IF(S228&lt;&gt;"",S228,O228))</f>
        <v/>
      </c>
      <c r="X228" s="34" t="str">
        <f aca="false">IF(F228="","",IF(E228="Redirected (301)",IF(AA228="","Pending","Redirected – see target"),IF(OR(AA228="",H228=""),"Pending",IF(H228=0,IF(AA228&gt;0,"Win","Neutral"),IF(AA228&gt;=H228*(1+'How to use'!$C$15),"Win",IF(AA228&lt;=H228*(1+'How to use'!$C$16),"Loss","Neutral"))))))</f>
        <v/>
      </c>
      <c r="Y228" s="35" t="str">
        <f aca="false">IF(OR(F228="",C228=""),"",IF(P228&lt;&gt;"","Done",IF(L228&lt;&gt;"",C228+'How to use'!$C$19+'How to use'!$C$17,C228+'How to use'!$C$18+'How to use'!$C$17)))</f>
        <v/>
      </c>
      <c r="Z228" s="9"/>
      <c r="AA228" s="36" t="str">
        <f aca="false">IF(P228&lt;&gt;"",P228,IF(L228&lt;&gt;"",L228,""))</f>
        <v/>
      </c>
      <c r="AB228" s="36" t="str">
        <f aca="false">IF(Q228&lt;&gt;"",Q228,IF(M228&lt;&gt;"",M228,""))</f>
        <v/>
      </c>
    </row>
    <row r="229" customFormat="false" ht="15" hidden="false" customHeight="false" outlineLevel="0" collapsed="false">
      <c r="A229" s="9"/>
      <c r="B229" s="9"/>
      <c r="C229" s="26"/>
      <c r="D229" s="9"/>
      <c r="E229" s="9"/>
      <c r="F229" s="9"/>
      <c r="G229" s="27"/>
      <c r="H229" s="28"/>
      <c r="I229" s="28"/>
      <c r="J229" s="29" t="str">
        <f aca="false">IF(OR(H229="",I229="",I229=0),"",H229/I229)</f>
        <v/>
      </c>
      <c r="K229" s="30"/>
      <c r="L229" s="28"/>
      <c r="M229" s="28"/>
      <c r="N229" s="29" t="str">
        <f aca="false">IF(OR(L229="",M229="",M229=0),"",L229/M229)</f>
        <v/>
      </c>
      <c r="O229" s="30"/>
      <c r="P229" s="28"/>
      <c r="Q229" s="28"/>
      <c r="R229" s="29" t="str">
        <f aca="false">IF(OR(P229="",Q229="",Q229=0),"",P229/Q229)</f>
        <v/>
      </c>
      <c r="S229" s="30"/>
      <c r="T229" s="31" t="str">
        <f aca="false">IF(OR(AA229="",H229="",H229=0),"",AA229/H229-1)</f>
        <v/>
      </c>
      <c r="U229" s="31" t="str">
        <f aca="false">IF(OR(AB229="",I229="",I229=0),"",AB229/I229-1)</f>
        <v/>
      </c>
      <c r="V229" s="32" t="str">
        <f aca="false">IF(OR(J229="",IF(R229&lt;&gt;"",R229,N229)=""),"",(IF(R229&lt;&gt;"",R229,N229)-J229)*100)</f>
        <v/>
      </c>
      <c r="W229" s="33" t="str">
        <f aca="false">IF(OR(K229="",IF(S229&lt;&gt;"",S229,O229)=""),"",K229-IF(S229&lt;&gt;"",S229,O229))</f>
        <v/>
      </c>
      <c r="X229" s="34" t="str">
        <f aca="false">IF(F229="","",IF(E229="Redirected (301)",IF(AA229="","Pending","Redirected – see target"),IF(OR(AA229="",H229=""),"Pending",IF(H229=0,IF(AA229&gt;0,"Win","Neutral"),IF(AA229&gt;=H229*(1+'How to use'!$C$15),"Win",IF(AA229&lt;=H229*(1+'How to use'!$C$16),"Loss","Neutral"))))))</f>
        <v/>
      </c>
      <c r="Y229" s="35" t="str">
        <f aca="false">IF(OR(F229="",C229=""),"",IF(P229&lt;&gt;"","Done",IF(L229&lt;&gt;"",C229+'How to use'!$C$19+'How to use'!$C$17,C229+'How to use'!$C$18+'How to use'!$C$17)))</f>
        <v/>
      </c>
      <c r="Z229" s="9"/>
      <c r="AA229" s="36" t="str">
        <f aca="false">IF(P229&lt;&gt;"",P229,IF(L229&lt;&gt;"",L229,""))</f>
        <v/>
      </c>
      <c r="AB229" s="36" t="str">
        <f aca="false">IF(Q229&lt;&gt;"",Q229,IF(M229&lt;&gt;"",M229,""))</f>
        <v/>
      </c>
    </row>
    <row r="230" customFormat="false" ht="15" hidden="false" customHeight="false" outlineLevel="0" collapsed="false">
      <c r="A230" s="9"/>
      <c r="B230" s="9"/>
      <c r="C230" s="26"/>
      <c r="D230" s="9"/>
      <c r="E230" s="9"/>
      <c r="F230" s="9"/>
      <c r="G230" s="27"/>
      <c r="H230" s="28"/>
      <c r="I230" s="28"/>
      <c r="J230" s="29" t="str">
        <f aca="false">IF(OR(H230="",I230="",I230=0),"",H230/I230)</f>
        <v/>
      </c>
      <c r="K230" s="30"/>
      <c r="L230" s="28"/>
      <c r="M230" s="28"/>
      <c r="N230" s="29" t="str">
        <f aca="false">IF(OR(L230="",M230="",M230=0),"",L230/M230)</f>
        <v/>
      </c>
      <c r="O230" s="30"/>
      <c r="P230" s="28"/>
      <c r="Q230" s="28"/>
      <c r="R230" s="29" t="str">
        <f aca="false">IF(OR(P230="",Q230="",Q230=0),"",P230/Q230)</f>
        <v/>
      </c>
      <c r="S230" s="30"/>
      <c r="T230" s="31" t="str">
        <f aca="false">IF(OR(AA230="",H230="",H230=0),"",AA230/H230-1)</f>
        <v/>
      </c>
      <c r="U230" s="31" t="str">
        <f aca="false">IF(OR(AB230="",I230="",I230=0),"",AB230/I230-1)</f>
        <v/>
      </c>
      <c r="V230" s="32" t="str">
        <f aca="false">IF(OR(J230="",IF(R230&lt;&gt;"",R230,N230)=""),"",(IF(R230&lt;&gt;"",R230,N230)-J230)*100)</f>
        <v/>
      </c>
      <c r="W230" s="33" t="str">
        <f aca="false">IF(OR(K230="",IF(S230&lt;&gt;"",S230,O230)=""),"",K230-IF(S230&lt;&gt;"",S230,O230))</f>
        <v/>
      </c>
      <c r="X230" s="34" t="str">
        <f aca="false">IF(F230="","",IF(E230="Redirected (301)",IF(AA230="","Pending","Redirected – see target"),IF(OR(AA230="",H230=""),"Pending",IF(H230=0,IF(AA230&gt;0,"Win","Neutral"),IF(AA230&gt;=H230*(1+'How to use'!$C$15),"Win",IF(AA230&lt;=H230*(1+'How to use'!$C$16),"Loss","Neutral"))))))</f>
        <v/>
      </c>
      <c r="Y230" s="35" t="str">
        <f aca="false">IF(OR(F230="",C230=""),"",IF(P230&lt;&gt;"","Done",IF(L230&lt;&gt;"",C230+'How to use'!$C$19+'How to use'!$C$17,C230+'How to use'!$C$18+'How to use'!$C$17)))</f>
        <v/>
      </c>
      <c r="Z230" s="9"/>
      <c r="AA230" s="36" t="str">
        <f aca="false">IF(P230&lt;&gt;"",P230,IF(L230&lt;&gt;"",L230,""))</f>
        <v/>
      </c>
      <c r="AB230" s="36" t="str">
        <f aca="false">IF(Q230&lt;&gt;"",Q230,IF(M230&lt;&gt;"",M230,""))</f>
        <v/>
      </c>
    </row>
    <row r="231" customFormat="false" ht="15" hidden="false" customHeight="false" outlineLevel="0" collapsed="false">
      <c r="A231" s="9"/>
      <c r="B231" s="9"/>
      <c r="C231" s="26"/>
      <c r="D231" s="9"/>
      <c r="E231" s="9"/>
      <c r="F231" s="9"/>
      <c r="G231" s="27"/>
      <c r="H231" s="28"/>
      <c r="I231" s="28"/>
      <c r="J231" s="29" t="str">
        <f aca="false">IF(OR(H231="",I231="",I231=0),"",H231/I231)</f>
        <v/>
      </c>
      <c r="K231" s="30"/>
      <c r="L231" s="28"/>
      <c r="M231" s="28"/>
      <c r="N231" s="29" t="str">
        <f aca="false">IF(OR(L231="",M231="",M231=0),"",L231/M231)</f>
        <v/>
      </c>
      <c r="O231" s="30"/>
      <c r="P231" s="28"/>
      <c r="Q231" s="28"/>
      <c r="R231" s="29" t="str">
        <f aca="false">IF(OR(P231="",Q231="",Q231=0),"",P231/Q231)</f>
        <v/>
      </c>
      <c r="S231" s="30"/>
      <c r="T231" s="31" t="str">
        <f aca="false">IF(OR(AA231="",H231="",H231=0),"",AA231/H231-1)</f>
        <v/>
      </c>
      <c r="U231" s="31" t="str">
        <f aca="false">IF(OR(AB231="",I231="",I231=0),"",AB231/I231-1)</f>
        <v/>
      </c>
      <c r="V231" s="32" t="str">
        <f aca="false">IF(OR(J231="",IF(R231&lt;&gt;"",R231,N231)=""),"",(IF(R231&lt;&gt;"",R231,N231)-J231)*100)</f>
        <v/>
      </c>
      <c r="W231" s="33" t="str">
        <f aca="false">IF(OR(K231="",IF(S231&lt;&gt;"",S231,O231)=""),"",K231-IF(S231&lt;&gt;"",S231,O231))</f>
        <v/>
      </c>
      <c r="X231" s="34" t="str">
        <f aca="false">IF(F231="","",IF(E231="Redirected (301)",IF(AA231="","Pending","Redirected – see target"),IF(OR(AA231="",H231=""),"Pending",IF(H231=0,IF(AA231&gt;0,"Win","Neutral"),IF(AA231&gt;=H231*(1+'How to use'!$C$15),"Win",IF(AA231&lt;=H231*(1+'How to use'!$C$16),"Loss","Neutral"))))))</f>
        <v/>
      </c>
      <c r="Y231" s="35" t="str">
        <f aca="false">IF(OR(F231="",C231=""),"",IF(P231&lt;&gt;"","Done",IF(L231&lt;&gt;"",C231+'How to use'!$C$19+'How to use'!$C$17,C231+'How to use'!$C$18+'How to use'!$C$17)))</f>
        <v/>
      </c>
      <c r="Z231" s="9"/>
      <c r="AA231" s="36" t="str">
        <f aca="false">IF(P231&lt;&gt;"",P231,IF(L231&lt;&gt;"",L231,""))</f>
        <v/>
      </c>
      <c r="AB231" s="36" t="str">
        <f aca="false">IF(Q231&lt;&gt;"",Q231,IF(M231&lt;&gt;"",M231,""))</f>
        <v/>
      </c>
    </row>
    <row r="232" customFormat="false" ht="15" hidden="false" customHeight="false" outlineLevel="0" collapsed="false">
      <c r="A232" s="9"/>
      <c r="B232" s="9"/>
      <c r="C232" s="26"/>
      <c r="D232" s="9"/>
      <c r="E232" s="9"/>
      <c r="F232" s="9"/>
      <c r="G232" s="27"/>
      <c r="H232" s="28"/>
      <c r="I232" s="28"/>
      <c r="J232" s="29" t="str">
        <f aca="false">IF(OR(H232="",I232="",I232=0),"",H232/I232)</f>
        <v/>
      </c>
      <c r="K232" s="30"/>
      <c r="L232" s="28"/>
      <c r="M232" s="28"/>
      <c r="N232" s="29" t="str">
        <f aca="false">IF(OR(L232="",M232="",M232=0),"",L232/M232)</f>
        <v/>
      </c>
      <c r="O232" s="30"/>
      <c r="P232" s="28"/>
      <c r="Q232" s="28"/>
      <c r="R232" s="29" t="str">
        <f aca="false">IF(OR(P232="",Q232="",Q232=0),"",P232/Q232)</f>
        <v/>
      </c>
      <c r="S232" s="30"/>
      <c r="T232" s="31" t="str">
        <f aca="false">IF(OR(AA232="",H232="",H232=0),"",AA232/H232-1)</f>
        <v/>
      </c>
      <c r="U232" s="31" t="str">
        <f aca="false">IF(OR(AB232="",I232="",I232=0),"",AB232/I232-1)</f>
        <v/>
      </c>
      <c r="V232" s="32" t="str">
        <f aca="false">IF(OR(J232="",IF(R232&lt;&gt;"",R232,N232)=""),"",(IF(R232&lt;&gt;"",R232,N232)-J232)*100)</f>
        <v/>
      </c>
      <c r="W232" s="33" t="str">
        <f aca="false">IF(OR(K232="",IF(S232&lt;&gt;"",S232,O232)=""),"",K232-IF(S232&lt;&gt;"",S232,O232))</f>
        <v/>
      </c>
      <c r="X232" s="34" t="str">
        <f aca="false">IF(F232="","",IF(E232="Redirected (301)",IF(AA232="","Pending","Redirected – see target"),IF(OR(AA232="",H232=""),"Pending",IF(H232=0,IF(AA232&gt;0,"Win","Neutral"),IF(AA232&gt;=H232*(1+'How to use'!$C$15),"Win",IF(AA232&lt;=H232*(1+'How to use'!$C$16),"Loss","Neutral"))))))</f>
        <v/>
      </c>
      <c r="Y232" s="35" t="str">
        <f aca="false">IF(OR(F232="",C232=""),"",IF(P232&lt;&gt;"","Done",IF(L232&lt;&gt;"",C232+'How to use'!$C$19+'How to use'!$C$17,C232+'How to use'!$C$18+'How to use'!$C$17)))</f>
        <v/>
      </c>
      <c r="Z232" s="9"/>
      <c r="AA232" s="36" t="str">
        <f aca="false">IF(P232&lt;&gt;"",P232,IF(L232&lt;&gt;"",L232,""))</f>
        <v/>
      </c>
      <c r="AB232" s="36" t="str">
        <f aca="false">IF(Q232&lt;&gt;"",Q232,IF(M232&lt;&gt;"",M232,""))</f>
        <v/>
      </c>
    </row>
    <row r="233" customFormat="false" ht="15" hidden="false" customHeight="false" outlineLevel="0" collapsed="false">
      <c r="A233" s="9"/>
      <c r="B233" s="9"/>
      <c r="C233" s="26"/>
      <c r="D233" s="9"/>
      <c r="E233" s="9"/>
      <c r="F233" s="9"/>
      <c r="G233" s="27"/>
      <c r="H233" s="28"/>
      <c r="I233" s="28"/>
      <c r="J233" s="29" t="str">
        <f aca="false">IF(OR(H233="",I233="",I233=0),"",H233/I233)</f>
        <v/>
      </c>
      <c r="K233" s="30"/>
      <c r="L233" s="28"/>
      <c r="M233" s="28"/>
      <c r="N233" s="29" t="str">
        <f aca="false">IF(OR(L233="",M233="",M233=0),"",L233/M233)</f>
        <v/>
      </c>
      <c r="O233" s="30"/>
      <c r="P233" s="28"/>
      <c r="Q233" s="28"/>
      <c r="R233" s="29" t="str">
        <f aca="false">IF(OR(P233="",Q233="",Q233=0),"",P233/Q233)</f>
        <v/>
      </c>
      <c r="S233" s="30"/>
      <c r="T233" s="31" t="str">
        <f aca="false">IF(OR(AA233="",H233="",H233=0),"",AA233/H233-1)</f>
        <v/>
      </c>
      <c r="U233" s="31" t="str">
        <f aca="false">IF(OR(AB233="",I233="",I233=0),"",AB233/I233-1)</f>
        <v/>
      </c>
      <c r="V233" s="32" t="str">
        <f aca="false">IF(OR(J233="",IF(R233&lt;&gt;"",R233,N233)=""),"",(IF(R233&lt;&gt;"",R233,N233)-J233)*100)</f>
        <v/>
      </c>
      <c r="W233" s="33" t="str">
        <f aca="false">IF(OR(K233="",IF(S233&lt;&gt;"",S233,O233)=""),"",K233-IF(S233&lt;&gt;"",S233,O233))</f>
        <v/>
      </c>
      <c r="X233" s="34" t="str">
        <f aca="false">IF(F233="","",IF(E233="Redirected (301)",IF(AA233="","Pending","Redirected – see target"),IF(OR(AA233="",H233=""),"Pending",IF(H233=0,IF(AA233&gt;0,"Win","Neutral"),IF(AA233&gt;=H233*(1+'How to use'!$C$15),"Win",IF(AA233&lt;=H233*(1+'How to use'!$C$16),"Loss","Neutral"))))))</f>
        <v/>
      </c>
      <c r="Y233" s="35" t="str">
        <f aca="false">IF(OR(F233="",C233=""),"",IF(P233&lt;&gt;"","Done",IF(L233&lt;&gt;"",C233+'How to use'!$C$19+'How to use'!$C$17,C233+'How to use'!$C$18+'How to use'!$C$17)))</f>
        <v/>
      </c>
      <c r="Z233" s="9"/>
      <c r="AA233" s="36" t="str">
        <f aca="false">IF(P233&lt;&gt;"",P233,IF(L233&lt;&gt;"",L233,""))</f>
        <v/>
      </c>
      <c r="AB233" s="36" t="str">
        <f aca="false">IF(Q233&lt;&gt;"",Q233,IF(M233&lt;&gt;"",M233,""))</f>
        <v/>
      </c>
    </row>
    <row r="234" customFormat="false" ht="15" hidden="false" customHeight="false" outlineLevel="0" collapsed="false">
      <c r="A234" s="9"/>
      <c r="B234" s="9"/>
      <c r="C234" s="26"/>
      <c r="D234" s="9"/>
      <c r="E234" s="9"/>
      <c r="F234" s="9"/>
      <c r="G234" s="27"/>
      <c r="H234" s="28"/>
      <c r="I234" s="28"/>
      <c r="J234" s="29" t="str">
        <f aca="false">IF(OR(H234="",I234="",I234=0),"",H234/I234)</f>
        <v/>
      </c>
      <c r="K234" s="30"/>
      <c r="L234" s="28"/>
      <c r="M234" s="28"/>
      <c r="N234" s="29" t="str">
        <f aca="false">IF(OR(L234="",M234="",M234=0),"",L234/M234)</f>
        <v/>
      </c>
      <c r="O234" s="30"/>
      <c r="P234" s="28"/>
      <c r="Q234" s="28"/>
      <c r="R234" s="29" t="str">
        <f aca="false">IF(OR(P234="",Q234="",Q234=0),"",P234/Q234)</f>
        <v/>
      </c>
      <c r="S234" s="30"/>
      <c r="T234" s="31" t="str">
        <f aca="false">IF(OR(AA234="",H234="",H234=0),"",AA234/H234-1)</f>
        <v/>
      </c>
      <c r="U234" s="31" t="str">
        <f aca="false">IF(OR(AB234="",I234="",I234=0),"",AB234/I234-1)</f>
        <v/>
      </c>
      <c r="V234" s="32" t="str">
        <f aca="false">IF(OR(J234="",IF(R234&lt;&gt;"",R234,N234)=""),"",(IF(R234&lt;&gt;"",R234,N234)-J234)*100)</f>
        <v/>
      </c>
      <c r="W234" s="33" t="str">
        <f aca="false">IF(OR(K234="",IF(S234&lt;&gt;"",S234,O234)=""),"",K234-IF(S234&lt;&gt;"",S234,O234))</f>
        <v/>
      </c>
      <c r="X234" s="34" t="str">
        <f aca="false">IF(F234="","",IF(E234="Redirected (301)",IF(AA234="","Pending","Redirected – see target"),IF(OR(AA234="",H234=""),"Pending",IF(H234=0,IF(AA234&gt;0,"Win","Neutral"),IF(AA234&gt;=H234*(1+'How to use'!$C$15),"Win",IF(AA234&lt;=H234*(1+'How to use'!$C$16),"Loss","Neutral"))))))</f>
        <v/>
      </c>
      <c r="Y234" s="35" t="str">
        <f aca="false">IF(OR(F234="",C234=""),"",IF(P234&lt;&gt;"","Done",IF(L234&lt;&gt;"",C234+'How to use'!$C$19+'How to use'!$C$17,C234+'How to use'!$C$18+'How to use'!$C$17)))</f>
        <v/>
      </c>
      <c r="Z234" s="9"/>
      <c r="AA234" s="36" t="str">
        <f aca="false">IF(P234&lt;&gt;"",P234,IF(L234&lt;&gt;"",L234,""))</f>
        <v/>
      </c>
      <c r="AB234" s="36" t="str">
        <f aca="false">IF(Q234&lt;&gt;"",Q234,IF(M234&lt;&gt;"",M234,""))</f>
        <v/>
      </c>
    </row>
    <row r="235" customFormat="false" ht="15" hidden="false" customHeight="false" outlineLevel="0" collapsed="false">
      <c r="A235" s="9"/>
      <c r="B235" s="9"/>
      <c r="C235" s="26"/>
      <c r="D235" s="9"/>
      <c r="E235" s="9"/>
      <c r="F235" s="9"/>
      <c r="G235" s="27"/>
      <c r="H235" s="28"/>
      <c r="I235" s="28"/>
      <c r="J235" s="29" t="str">
        <f aca="false">IF(OR(H235="",I235="",I235=0),"",H235/I235)</f>
        <v/>
      </c>
      <c r="K235" s="30"/>
      <c r="L235" s="28"/>
      <c r="M235" s="28"/>
      <c r="N235" s="29" t="str">
        <f aca="false">IF(OR(L235="",M235="",M235=0),"",L235/M235)</f>
        <v/>
      </c>
      <c r="O235" s="30"/>
      <c r="P235" s="28"/>
      <c r="Q235" s="28"/>
      <c r="R235" s="29" t="str">
        <f aca="false">IF(OR(P235="",Q235="",Q235=0),"",P235/Q235)</f>
        <v/>
      </c>
      <c r="S235" s="30"/>
      <c r="T235" s="31" t="str">
        <f aca="false">IF(OR(AA235="",H235="",H235=0),"",AA235/H235-1)</f>
        <v/>
      </c>
      <c r="U235" s="31" t="str">
        <f aca="false">IF(OR(AB235="",I235="",I235=0),"",AB235/I235-1)</f>
        <v/>
      </c>
      <c r="V235" s="32" t="str">
        <f aca="false">IF(OR(J235="",IF(R235&lt;&gt;"",R235,N235)=""),"",(IF(R235&lt;&gt;"",R235,N235)-J235)*100)</f>
        <v/>
      </c>
      <c r="W235" s="33" t="str">
        <f aca="false">IF(OR(K235="",IF(S235&lt;&gt;"",S235,O235)=""),"",K235-IF(S235&lt;&gt;"",S235,O235))</f>
        <v/>
      </c>
      <c r="X235" s="34" t="str">
        <f aca="false">IF(F235="","",IF(E235="Redirected (301)",IF(AA235="","Pending","Redirected – see target"),IF(OR(AA235="",H235=""),"Pending",IF(H235=0,IF(AA235&gt;0,"Win","Neutral"),IF(AA235&gt;=H235*(1+'How to use'!$C$15),"Win",IF(AA235&lt;=H235*(1+'How to use'!$C$16),"Loss","Neutral"))))))</f>
        <v/>
      </c>
      <c r="Y235" s="35" t="str">
        <f aca="false">IF(OR(F235="",C235=""),"",IF(P235&lt;&gt;"","Done",IF(L235&lt;&gt;"",C235+'How to use'!$C$19+'How to use'!$C$17,C235+'How to use'!$C$18+'How to use'!$C$17)))</f>
        <v/>
      </c>
      <c r="Z235" s="9"/>
      <c r="AA235" s="36" t="str">
        <f aca="false">IF(P235&lt;&gt;"",P235,IF(L235&lt;&gt;"",L235,""))</f>
        <v/>
      </c>
      <c r="AB235" s="36" t="str">
        <f aca="false">IF(Q235&lt;&gt;"",Q235,IF(M235&lt;&gt;"",M235,""))</f>
        <v/>
      </c>
    </row>
    <row r="236" customFormat="false" ht="15" hidden="false" customHeight="false" outlineLevel="0" collapsed="false">
      <c r="A236" s="9"/>
      <c r="B236" s="9"/>
      <c r="C236" s="26"/>
      <c r="D236" s="9"/>
      <c r="E236" s="9"/>
      <c r="F236" s="9"/>
      <c r="G236" s="27"/>
      <c r="H236" s="28"/>
      <c r="I236" s="28"/>
      <c r="J236" s="29" t="str">
        <f aca="false">IF(OR(H236="",I236="",I236=0),"",H236/I236)</f>
        <v/>
      </c>
      <c r="K236" s="30"/>
      <c r="L236" s="28"/>
      <c r="M236" s="28"/>
      <c r="N236" s="29" t="str">
        <f aca="false">IF(OR(L236="",M236="",M236=0),"",L236/M236)</f>
        <v/>
      </c>
      <c r="O236" s="30"/>
      <c r="P236" s="28"/>
      <c r="Q236" s="28"/>
      <c r="R236" s="29" t="str">
        <f aca="false">IF(OR(P236="",Q236="",Q236=0),"",P236/Q236)</f>
        <v/>
      </c>
      <c r="S236" s="30"/>
      <c r="T236" s="31" t="str">
        <f aca="false">IF(OR(AA236="",H236="",H236=0),"",AA236/H236-1)</f>
        <v/>
      </c>
      <c r="U236" s="31" t="str">
        <f aca="false">IF(OR(AB236="",I236="",I236=0),"",AB236/I236-1)</f>
        <v/>
      </c>
      <c r="V236" s="32" t="str">
        <f aca="false">IF(OR(J236="",IF(R236&lt;&gt;"",R236,N236)=""),"",(IF(R236&lt;&gt;"",R236,N236)-J236)*100)</f>
        <v/>
      </c>
      <c r="W236" s="33" t="str">
        <f aca="false">IF(OR(K236="",IF(S236&lt;&gt;"",S236,O236)=""),"",K236-IF(S236&lt;&gt;"",S236,O236))</f>
        <v/>
      </c>
      <c r="X236" s="34" t="str">
        <f aca="false">IF(F236="","",IF(E236="Redirected (301)",IF(AA236="","Pending","Redirected – see target"),IF(OR(AA236="",H236=""),"Pending",IF(H236=0,IF(AA236&gt;0,"Win","Neutral"),IF(AA236&gt;=H236*(1+'How to use'!$C$15),"Win",IF(AA236&lt;=H236*(1+'How to use'!$C$16),"Loss","Neutral"))))))</f>
        <v/>
      </c>
      <c r="Y236" s="35" t="str">
        <f aca="false">IF(OR(F236="",C236=""),"",IF(P236&lt;&gt;"","Done",IF(L236&lt;&gt;"",C236+'How to use'!$C$19+'How to use'!$C$17,C236+'How to use'!$C$18+'How to use'!$C$17)))</f>
        <v/>
      </c>
      <c r="Z236" s="9"/>
      <c r="AA236" s="36" t="str">
        <f aca="false">IF(P236&lt;&gt;"",P236,IF(L236&lt;&gt;"",L236,""))</f>
        <v/>
      </c>
      <c r="AB236" s="36" t="str">
        <f aca="false">IF(Q236&lt;&gt;"",Q236,IF(M236&lt;&gt;"",M236,""))</f>
        <v/>
      </c>
    </row>
    <row r="237" customFormat="false" ht="15" hidden="false" customHeight="false" outlineLevel="0" collapsed="false">
      <c r="A237" s="9"/>
      <c r="B237" s="9"/>
      <c r="C237" s="26"/>
      <c r="D237" s="9"/>
      <c r="E237" s="9"/>
      <c r="F237" s="9"/>
      <c r="G237" s="27"/>
      <c r="H237" s="28"/>
      <c r="I237" s="28"/>
      <c r="J237" s="29" t="str">
        <f aca="false">IF(OR(H237="",I237="",I237=0),"",H237/I237)</f>
        <v/>
      </c>
      <c r="K237" s="30"/>
      <c r="L237" s="28"/>
      <c r="M237" s="28"/>
      <c r="N237" s="29" t="str">
        <f aca="false">IF(OR(L237="",M237="",M237=0),"",L237/M237)</f>
        <v/>
      </c>
      <c r="O237" s="30"/>
      <c r="P237" s="28"/>
      <c r="Q237" s="28"/>
      <c r="R237" s="29" t="str">
        <f aca="false">IF(OR(P237="",Q237="",Q237=0),"",P237/Q237)</f>
        <v/>
      </c>
      <c r="S237" s="30"/>
      <c r="T237" s="31" t="str">
        <f aca="false">IF(OR(AA237="",H237="",H237=0),"",AA237/H237-1)</f>
        <v/>
      </c>
      <c r="U237" s="31" t="str">
        <f aca="false">IF(OR(AB237="",I237="",I237=0),"",AB237/I237-1)</f>
        <v/>
      </c>
      <c r="V237" s="32" t="str">
        <f aca="false">IF(OR(J237="",IF(R237&lt;&gt;"",R237,N237)=""),"",(IF(R237&lt;&gt;"",R237,N237)-J237)*100)</f>
        <v/>
      </c>
      <c r="W237" s="33" t="str">
        <f aca="false">IF(OR(K237="",IF(S237&lt;&gt;"",S237,O237)=""),"",K237-IF(S237&lt;&gt;"",S237,O237))</f>
        <v/>
      </c>
      <c r="X237" s="34" t="str">
        <f aca="false">IF(F237="","",IF(E237="Redirected (301)",IF(AA237="","Pending","Redirected – see target"),IF(OR(AA237="",H237=""),"Pending",IF(H237=0,IF(AA237&gt;0,"Win","Neutral"),IF(AA237&gt;=H237*(1+'How to use'!$C$15),"Win",IF(AA237&lt;=H237*(1+'How to use'!$C$16),"Loss","Neutral"))))))</f>
        <v/>
      </c>
      <c r="Y237" s="35" t="str">
        <f aca="false">IF(OR(F237="",C237=""),"",IF(P237&lt;&gt;"","Done",IF(L237&lt;&gt;"",C237+'How to use'!$C$19+'How to use'!$C$17,C237+'How to use'!$C$18+'How to use'!$C$17)))</f>
        <v/>
      </c>
      <c r="Z237" s="9"/>
      <c r="AA237" s="36" t="str">
        <f aca="false">IF(P237&lt;&gt;"",P237,IF(L237&lt;&gt;"",L237,""))</f>
        <v/>
      </c>
      <c r="AB237" s="36" t="str">
        <f aca="false">IF(Q237&lt;&gt;"",Q237,IF(M237&lt;&gt;"",M237,""))</f>
        <v/>
      </c>
    </row>
    <row r="238" customFormat="false" ht="15" hidden="false" customHeight="false" outlineLevel="0" collapsed="false">
      <c r="A238" s="9"/>
      <c r="B238" s="9"/>
      <c r="C238" s="26"/>
      <c r="D238" s="9"/>
      <c r="E238" s="9"/>
      <c r="F238" s="9"/>
      <c r="G238" s="27"/>
      <c r="H238" s="28"/>
      <c r="I238" s="28"/>
      <c r="J238" s="29" t="str">
        <f aca="false">IF(OR(H238="",I238="",I238=0),"",H238/I238)</f>
        <v/>
      </c>
      <c r="K238" s="30"/>
      <c r="L238" s="28"/>
      <c r="M238" s="28"/>
      <c r="N238" s="29" t="str">
        <f aca="false">IF(OR(L238="",M238="",M238=0),"",L238/M238)</f>
        <v/>
      </c>
      <c r="O238" s="30"/>
      <c r="P238" s="28"/>
      <c r="Q238" s="28"/>
      <c r="R238" s="29" t="str">
        <f aca="false">IF(OR(P238="",Q238="",Q238=0),"",P238/Q238)</f>
        <v/>
      </c>
      <c r="S238" s="30"/>
      <c r="T238" s="31" t="str">
        <f aca="false">IF(OR(AA238="",H238="",H238=0),"",AA238/H238-1)</f>
        <v/>
      </c>
      <c r="U238" s="31" t="str">
        <f aca="false">IF(OR(AB238="",I238="",I238=0),"",AB238/I238-1)</f>
        <v/>
      </c>
      <c r="V238" s="32" t="str">
        <f aca="false">IF(OR(J238="",IF(R238&lt;&gt;"",R238,N238)=""),"",(IF(R238&lt;&gt;"",R238,N238)-J238)*100)</f>
        <v/>
      </c>
      <c r="W238" s="33" t="str">
        <f aca="false">IF(OR(K238="",IF(S238&lt;&gt;"",S238,O238)=""),"",K238-IF(S238&lt;&gt;"",S238,O238))</f>
        <v/>
      </c>
      <c r="X238" s="34" t="str">
        <f aca="false">IF(F238="","",IF(E238="Redirected (301)",IF(AA238="","Pending","Redirected – see target"),IF(OR(AA238="",H238=""),"Pending",IF(H238=0,IF(AA238&gt;0,"Win","Neutral"),IF(AA238&gt;=H238*(1+'How to use'!$C$15),"Win",IF(AA238&lt;=H238*(1+'How to use'!$C$16),"Loss","Neutral"))))))</f>
        <v/>
      </c>
      <c r="Y238" s="35" t="str">
        <f aca="false">IF(OR(F238="",C238=""),"",IF(P238&lt;&gt;"","Done",IF(L238&lt;&gt;"",C238+'How to use'!$C$19+'How to use'!$C$17,C238+'How to use'!$C$18+'How to use'!$C$17)))</f>
        <v/>
      </c>
      <c r="Z238" s="9"/>
      <c r="AA238" s="36" t="str">
        <f aca="false">IF(P238&lt;&gt;"",P238,IF(L238&lt;&gt;"",L238,""))</f>
        <v/>
      </c>
      <c r="AB238" s="36" t="str">
        <f aca="false">IF(Q238&lt;&gt;"",Q238,IF(M238&lt;&gt;"",M238,""))</f>
        <v/>
      </c>
    </row>
    <row r="239" customFormat="false" ht="15" hidden="false" customHeight="false" outlineLevel="0" collapsed="false">
      <c r="A239" s="9"/>
      <c r="B239" s="9"/>
      <c r="C239" s="26"/>
      <c r="D239" s="9"/>
      <c r="E239" s="9"/>
      <c r="F239" s="9"/>
      <c r="G239" s="27"/>
      <c r="H239" s="28"/>
      <c r="I239" s="28"/>
      <c r="J239" s="29" t="str">
        <f aca="false">IF(OR(H239="",I239="",I239=0),"",H239/I239)</f>
        <v/>
      </c>
      <c r="K239" s="30"/>
      <c r="L239" s="28"/>
      <c r="M239" s="28"/>
      <c r="N239" s="29" t="str">
        <f aca="false">IF(OR(L239="",M239="",M239=0),"",L239/M239)</f>
        <v/>
      </c>
      <c r="O239" s="30"/>
      <c r="P239" s="28"/>
      <c r="Q239" s="28"/>
      <c r="R239" s="29" t="str">
        <f aca="false">IF(OR(P239="",Q239="",Q239=0),"",P239/Q239)</f>
        <v/>
      </c>
      <c r="S239" s="30"/>
      <c r="T239" s="31" t="str">
        <f aca="false">IF(OR(AA239="",H239="",H239=0),"",AA239/H239-1)</f>
        <v/>
      </c>
      <c r="U239" s="31" t="str">
        <f aca="false">IF(OR(AB239="",I239="",I239=0),"",AB239/I239-1)</f>
        <v/>
      </c>
      <c r="V239" s="32" t="str">
        <f aca="false">IF(OR(J239="",IF(R239&lt;&gt;"",R239,N239)=""),"",(IF(R239&lt;&gt;"",R239,N239)-J239)*100)</f>
        <v/>
      </c>
      <c r="W239" s="33" t="str">
        <f aca="false">IF(OR(K239="",IF(S239&lt;&gt;"",S239,O239)=""),"",K239-IF(S239&lt;&gt;"",S239,O239))</f>
        <v/>
      </c>
      <c r="X239" s="34" t="str">
        <f aca="false">IF(F239="","",IF(E239="Redirected (301)",IF(AA239="","Pending","Redirected – see target"),IF(OR(AA239="",H239=""),"Pending",IF(H239=0,IF(AA239&gt;0,"Win","Neutral"),IF(AA239&gt;=H239*(1+'How to use'!$C$15),"Win",IF(AA239&lt;=H239*(1+'How to use'!$C$16),"Loss","Neutral"))))))</f>
        <v/>
      </c>
      <c r="Y239" s="35" t="str">
        <f aca="false">IF(OR(F239="",C239=""),"",IF(P239&lt;&gt;"","Done",IF(L239&lt;&gt;"",C239+'How to use'!$C$19+'How to use'!$C$17,C239+'How to use'!$C$18+'How to use'!$C$17)))</f>
        <v/>
      </c>
      <c r="Z239" s="9"/>
      <c r="AA239" s="36" t="str">
        <f aca="false">IF(P239&lt;&gt;"",P239,IF(L239&lt;&gt;"",L239,""))</f>
        <v/>
      </c>
      <c r="AB239" s="36" t="str">
        <f aca="false">IF(Q239&lt;&gt;"",Q239,IF(M239&lt;&gt;"",M239,""))</f>
        <v/>
      </c>
    </row>
    <row r="240" customFormat="false" ht="15" hidden="false" customHeight="false" outlineLevel="0" collapsed="false">
      <c r="A240" s="9"/>
      <c r="B240" s="9"/>
      <c r="C240" s="26"/>
      <c r="D240" s="9"/>
      <c r="E240" s="9"/>
      <c r="F240" s="9"/>
      <c r="G240" s="27"/>
      <c r="H240" s="28"/>
      <c r="I240" s="28"/>
      <c r="J240" s="29" t="str">
        <f aca="false">IF(OR(H240="",I240="",I240=0),"",H240/I240)</f>
        <v/>
      </c>
      <c r="K240" s="30"/>
      <c r="L240" s="28"/>
      <c r="M240" s="28"/>
      <c r="N240" s="29" t="str">
        <f aca="false">IF(OR(L240="",M240="",M240=0),"",L240/M240)</f>
        <v/>
      </c>
      <c r="O240" s="30"/>
      <c r="P240" s="28"/>
      <c r="Q240" s="28"/>
      <c r="R240" s="29" t="str">
        <f aca="false">IF(OR(P240="",Q240="",Q240=0),"",P240/Q240)</f>
        <v/>
      </c>
      <c r="S240" s="30"/>
      <c r="T240" s="31" t="str">
        <f aca="false">IF(OR(AA240="",H240="",H240=0),"",AA240/H240-1)</f>
        <v/>
      </c>
      <c r="U240" s="31" t="str">
        <f aca="false">IF(OR(AB240="",I240="",I240=0),"",AB240/I240-1)</f>
        <v/>
      </c>
      <c r="V240" s="32" t="str">
        <f aca="false">IF(OR(J240="",IF(R240&lt;&gt;"",R240,N240)=""),"",(IF(R240&lt;&gt;"",R240,N240)-J240)*100)</f>
        <v/>
      </c>
      <c r="W240" s="33" t="str">
        <f aca="false">IF(OR(K240="",IF(S240&lt;&gt;"",S240,O240)=""),"",K240-IF(S240&lt;&gt;"",S240,O240))</f>
        <v/>
      </c>
      <c r="X240" s="34" t="str">
        <f aca="false">IF(F240="","",IF(E240="Redirected (301)",IF(AA240="","Pending","Redirected – see target"),IF(OR(AA240="",H240=""),"Pending",IF(H240=0,IF(AA240&gt;0,"Win","Neutral"),IF(AA240&gt;=H240*(1+'How to use'!$C$15),"Win",IF(AA240&lt;=H240*(1+'How to use'!$C$16),"Loss","Neutral"))))))</f>
        <v/>
      </c>
      <c r="Y240" s="35" t="str">
        <f aca="false">IF(OR(F240="",C240=""),"",IF(P240&lt;&gt;"","Done",IF(L240&lt;&gt;"",C240+'How to use'!$C$19+'How to use'!$C$17,C240+'How to use'!$C$18+'How to use'!$C$17)))</f>
        <v/>
      </c>
      <c r="Z240" s="9"/>
      <c r="AA240" s="36" t="str">
        <f aca="false">IF(P240&lt;&gt;"",P240,IF(L240&lt;&gt;"",L240,""))</f>
        <v/>
      </c>
      <c r="AB240" s="36" t="str">
        <f aca="false">IF(Q240&lt;&gt;"",Q240,IF(M240&lt;&gt;"",M240,""))</f>
        <v/>
      </c>
    </row>
    <row r="241" customFormat="false" ht="15" hidden="false" customHeight="false" outlineLevel="0" collapsed="false">
      <c r="A241" s="9"/>
      <c r="B241" s="9"/>
      <c r="C241" s="26"/>
      <c r="D241" s="9"/>
      <c r="E241" s="9"/>
      <c r="F241" s="9"/>
      <c r="G241" s="27"/>
      <c r="H241" s="28"/>
      <c r="I241" s="28"/>
      <c r="J241" s="29" t="str">
        <f aca="false">IF(OR(H241="",I241="",I241=0),"",H241/I241)</f>
        <v/>
      </c>
      <c r="K241" s="30"/>
      <c r="L241" s="28"/>
      <c r="M241" s="28"/>
      <c r="N241" s="29" t="str">
        <f aca="false">IF(OR(L241="",M241="",M241=0),"",L241/M241)</f>
        <v/>
      </c>
      <c r="O241" s="30"/>
      <c r="P241" s="28"/>
      <c r="Q241" s="28"/>
      <c r="R241" s="29" t="str">
        <f aca="false">IF(OR(P241="",Q241="",Q241=0),"",P241/Q241)</f>
        <v/>
      </c>
      <c r="S241" s="30"/>
      <c r="T241" s="31" t="str">
        <f aca="false">IF(OR(AA241="",H241="",H241=0),"",AA241/H241-1)</f>
        <v/>
      </c>
      <c r="U241" s="31" t="str">
        <f aca="false">IF(OR(AB241="",I241="",I241=0),"",AB241/I241-1)</f>
        <v/>
      </c>
      <c r="V241" s="32" t="str">
        <f aca="false">IF(OR(J241="",IF(R241&lt;&gt;"",R241,N241)=""),"",(IF(R241&lt;&gt;"",R241,N241)-J241)*100)</f>
        <v/>
      </c>
      <c r="W241" s="33" t="str">
        <f aca="false">IF(OR(K241="",IF(S241&lt;&gt;"",S241,O241)=""),"",K241-IF(S241&lt;&gt;"",S241,O241))</f>
        <v/>
      </c>
      <c r="X241" s="34" t="str">
        <f aca="false">IF(F241="","",IF(E241="Redirected (301)",IF(AA241="","Pending","Redirected – see target"),IF(OR(AA241="",H241=""),"Pending",IF(H241=0,IF(AA241&gt;0,"Win","Neutral"),IF(AA241&gt;=H241*(1+'How to use'!$C$15),"Win",IF(AA241&lt;=H241*(1+'How to use'!$C$16),"Loss","Neutral"))))))</f>
        <v/>
      </c>
      <c r="Y241" s="35" t="str">
        <f aca="false">IF(OR(F241="",C241=""),"",IF(P241&lt;&gt;"","Done",IF(L241&lt;&gt;"",C241+'How to use'!$C$19+'How to use'!$C$17,C241+'How to use'!$C$18+'How to use'!$C$17)))</f>
        <v/>
      </c>
      <c r="Z241" s="9"/>
      <c r="AA241" s="36" t="str">
        <f aca="false">IF(P241&lt;&gt;"",P241,IF(L241&lt;&gt;"",L241,""))</f>
        <v/>
      </c>
      <c r="AB241" s="36" t="str">
        <f aca="false">IF(Q241&lt;&gt;"",Q241,IF(M241&lt;&gt;"",M241,""))</f>
        <v/>
      </c>
    </row>
    <row r="242" customFormat="false" ht="15" hidden="false" customHeight="false" outlineLevel="0" collapsed="false">
      <c r="A242" s="9"/>
      <c r="B242" s="9"/>
      <c r="C242" s="26"/>
      <c r="D242" s="9"/>
      <c r="E242" s="9"/>
      <c r="F242" s="9"/>
      <c r="G242" s="27"/>
      <c r="H242" s="28"/>
      <c r="I242" s="28"/>
      <c r="J242" s="29" t="str">
        <f aca="false">IF(OR(H242="",I242="",I242=0),"",H242/I242)</f>
        <v/>
      </c>
      <c r="K242" s="30"/>
      <c r="L242" s="28"/>
      <c r="M242" s="28"/>
      <c r="N242" s="29" t="str">
        <f aca="false">IF(OR(L242="",M242="",M242=0),"",L242/M242)</f>
        <v/>
      </c>
      <c r="O242" s="30"/>
      <c r="P242" s="28"/>
      <c r="Q242" s="28"/>
      <c r="R242" s="29" t="str">
        <f aca="false">IF(OR(P242="",Q242="",Q242=0),"",P242/Q242)</f>
        <v/>
      </c>
      <c r="S242" s="30"/>
      <c r="T242" s="31" t="str">
        <f aca="false">IF(OR(AA242="",H242="",H242=0),"",AA242/H242-1)</f>
        <v/>
      </c>
      <c r="U242" s="31" t="str">
        <f aca="false">IF(OR(AB242="",I242="",I242=0),"",AB242/I242-1)</f>
        <v/>
      </c>
      <c r="V242" s="32" t="str">
        <f aca="false">IF(OR(J242="",IF(R242&lt;&gt;"",R242,N242)=""),"",(IF(R242&lt;&gt;"",R242,N242)-J242)*100)</f>
        <v/>
      </c>
      <c r="W242" s="33" t="str">
        <f aca="false">IF(OR(K242="",IF(S242&lt;&gt;"",S242,O242)=""),"",K242-IF(S242&lt;&gt;"",S242,O242))</f>
        <v/>
      </c>
      <c r="X242" s="34" t="str">
        <f aca="false">IF(F242="","",IF(E242="Redirected (301)",IF(AA242="","Pending","Redirected – see target"),IF(OR(AA242="",H242=""),"Pending",IF(H242=0,IF(AA242&gt;0,"Win","Neutral"),IF(AA242&gt;=H242*(1+'How to use'!$C$15),"Win",IF(AA242&lt;=H242*(1+'How to use'!$C$16),"Loss","Neutral"))))))</f>
        <v/>
      </c>
      <c r="Y242" s="35" t="str">
        <f aca="false">IF(OR(F242="",C242=""),"",IF(P242&lt;&gt;"","Done",IF(L242&lt;&gt;"",C242+'How to use'!$C$19+'How to use'!$C$17,C242+'How to use'!$C$18+'How to use'!$C$17)))</f>
        <v/>
      </c>
      <c r="Z242" s="9"/>
      <c r="AA242" s="36" t="str">
        <f aca="false">IF(P242&lt;&gt;"",P242,IF(L242&lt;&gt;"",L242,""))</f>
        <v/>
      </c>
      <c r="AB242" s="36" t="str">
        <f aca="false">IF(Q242&lt;&gt;"",Q242,IF(M242&lt;&gt;"",M242,""))</f>
        <v/>
      </c>
    </row>
    <row r="243" customFormat="false" ht="15" hidden="false" customHeight="false" outlineLevel="0" collapsed="false">
      <c r="A243" s="9"/>
      <c r="B243" s="9"/>
      <c r="C243" s="26"/>
      <c r="D243" s="9"/>
      <c r="E243" s="9"/>
      <c r="F243" s="9"/>
      <c r="G243" s="27"/>
      <c r="H243" s="28"/>
      <c r="I243" s="28"/>
      <c r="J243" s="29" t="str">
        <f aca="false">IF(OR(H243="",I243="",I243=0),"",H243/I243)</f>
        <v/>
      </c>
      <c r="K243" s="30"/>
      <c r="L243" s="28"/>
      <c r="M243" s="28"/>
      <c r="N243" s="29" t="str">
        <f aca="false">IF(OR(L243="",M243="",M243=0),"",L243/M243)</f>
        <v/>
      </c>
      <c r="O243" s="30"/>
      <c r="P243" s="28"/>
      <c r="Q243" s="28"/>
      <c r="R243" s="29" t="str">
        <f aca="false">IF(OR(P243="",Q243="",Q243=0),"",P243/Q243)</f>
        <v/>
      </c>
      <c r="S243" s="30"/>
      <c r="T243" s="31" t="str">
        <f aca="false">IF(OR(AA243="",H243="",H243=0),"",AA243/H243-1)</f>
        <v/>
      </c>
      <c r="U243" s="31" t="str">
        <f aca="false">IF(OR(AB243="",I243="",I243=0),"",AB243/I243-1)</f>
        <v/>
      </c>
      <c r="V243" s="32" t="str">
        <f aca="false">IF(OR(J243="",IF(R243&lt;&gt;"",R243,N243)=""),"",(IF(R243&lt;&gt;"",R243,N243)-J243)*100)</f>
        <v/>
      </c>
      <c r="W243" s="33" t="str">
        <f aca="false">IF(OR(K243="",IF(S243&lt;&gt;"",S243,O243)=""),"",K243-IF(S243&lt;&gt;"",S243,O243))</f>
        <v/>
      </c>
      <c r="X243" s="34" t="str">
        <f aca="false">IF(F243="","",IF(E243="Redirected (301)",IF(AA243="","Pending","Redirected – see target"),IF(OR(AA243="",H243=""),"Pending",IF(H243=0,IF(AA243&gt;0,"Win","Neutral"),IF(AA243&gt;=H243*(1+'How to use'!$C$15),"Win",IF(AA243&lt;=H243*(1+'How to use'!$C$16),"Loss","Neutral"))))))</f>
        <v/>
      </c>
      <c r="Y243" s="35" t="str">
        <f aca="false">IF(OR(F243="",C243=""),"",IF(P243&lt;&gt;"","Done",IF(L243&lt;&gt;"",C243+'How to use'!$C$19+'How to use'!$C$17,C243+'How to use'!$C$18+'How to use'!$C$17)))</f>
        <v/>
      </c>
      <c r="Z243" s="9"/>
      <c r="AA243" s="36" t="str">
        <f aca="false">IF(P243&lt;&gt;"",P243,IF(L243&lt;&gt;"",L243,""))</f>
        <v/>
      </c>
      <c r="AB243" s="36" t="str">
        <f aca="false">IF(Q243&lt;&gt;"",Q243,IF(M243&lt;&gt;"",M243,""))</f>
        <v/>
      </c>
    </row>
    <row r="244" customFormat="false" ht="15" hidden="false" customHeight="false" outlineLevel="0" collapsed="false">
      <c r="A244" s="9"/>
      <c r="B244" s="9"/>
      <c r="C244" s="26"/>
      <c r="D244" s="9"/>
      <c r="E244" s="9"/>
      <c r="F244" s="9"/>
      <c r="G244" s="27"/>
      <c r="H244" s="28"/>
      <c r="I244" s="28"/>
      <c r="J244" s="29" t="str">
        <f aca="false">IF(OR(H244="",I244="",I244=0),"",H244/I244)</f>
        <v/>
      </c>
      <c r="K244" s="30"/>
      <c r="L244" s="28"/>
      <c r="M244" s="28"/>
      <c r="N244" s="29" t="str">
        <f aca="false">IF(OR(L244="",M244="",M244=0),"",L244/M244)</f>
        <v/>
      </c>
      <c r="O244" s="30"/>
      <c r="P244" s="28"/>
      <c r="Q244" s="28"/>
      <c r="R244" s="29" t="str">
        <f aca="false">IF(OR(P244="",Q244="",Q244=0),"",P244/Q244)</f>
        <v/>
      </c>
      <c r="S244" s="30"/>
      <c r="T244" s="31" t="str">
        <f aca="false">IF(OR(AA244="",H244="",H244=0),"",AA244/H244-1)</f>
        <v/>
      </c>
      <c r="U244" s="31" t="str">
        <f aca="false">IF(OR(AB244="",I244="",I244=0),"",AB244/I244-1)</f>
        <v/>
      </c>
      <c r="V244" s="32" t="str">
        <f aca="false">IF(OR(J244="",IF(R244&lt;&gt;"",R244,N244)=""),"",(IF(R244&lt;&gt;"",R244,N244)-J244)*100)</f>
        <v/>
      </c>
      <c r="W244" s="33" t="str">
        <f aca="false">IF(OR(K244="",IF(S244&lt;&gt;"",S244,O244)=""),"",K244-IF(S244&lt;&gt;"",S244,O244))</f>
        <v/>
      </c>
      <c r="X244" s="34" t="str">
        <f aca="false">IF(F244="","",IF(E244="Redirected (301)",IF(AA244="","Pending","Redirected – see target"),IF(OR(AA244="",H244=""),"Pending",IF(H244=0,IF(AA244&gt;0,"Win","Neutral"),IF(AA244&gt;=H244*(1+'How to use'!$C$15),"Win",IF(AA244&lt;=H244*(1+'How to use'!$C$16),"Loss","Neutral"))))))</f>
        <v/>
      </c>
      <c r="Y244" s="35" t="str">
        <f aca="false">IF(OR(F244="",C244=""),"",IF(P244&lt;&gt;"","Done",IF(L244&lt;&gt;"",C244+'How to use'!$C$19+'How to use'!$C$17,C244+'How to use'!$C$18+'How to use'!$C$17)))</f>
        <v/>
      </c>
      <c r="Z244" s="9"/>
      <c r="AA244" s="36" t="str">
        <f aca="false">IF(P244&lt;&gt;"",P244,IF(L244&lt;&gt;"",L244,""))</f>
        <v/>
      </c>
      <c r="AB244" s="36" t="str">
        <f aca="false">IF(Q244&lt;&gt;"",Q244,IF(M244&lt;&gt;"",M244,""))</f>
        <v/>
      </c>
    </row>
    <row r="245" customFormat="false" ht="15" hidden="false" customHeight="false" outlineLevel="0" collapsed="false">
      <c r="A245" s="9"/>
      <c r="B245" s="9"/>
      <c r="C245" s="26"/>
      <c r="D245" s="9"/>
      <c r="E245" s="9"/>
      <c r="F245" s="9"/>
      <c r="G245" s="27"/>
      <c r="H245" s="28"/>
      <c r="I245" s="28"/>
      <c r="J245" s="29" t="str">
        <f aca="false">IF(OR(H245="",I245="",I245=0),"",H245/I245)</f>
        <v/>
      </c>
      <c r="K245" s="30"/>
      <c r="L245" s="28"/>
      <c r="M245" s="28"/>
      <c r="N245" s="29" t="str">
        <f aca="false">IF(OR(L245="",M245="",M245=0),"",L245/M245)</f>
        <v/>
      </c>
      <c r="O245" s="30"/>
      <c r="P245" s="28"/>
      <c r="Q245" s="28"/>
      <c r="R245" s="29" t="str">
        <f aca="false">IF(OR(P245="",Q245="",Q245=0),"",P245/Q245)</f>
        <v/>
      </c>
      <c r="S245" s="30"/>
      <c r="T245" s="31" t="str">
        <f aca="false">IF(OR(AA245="",H245="",H245=0),"",AA245/H245-1)</f>
        <v/>
      </c>
      <c r="U245" s="31" t="str">
        <f aca="false">IF(OR(AB245="",I245="",I245=0),"",AB245/I245-1)</f>
        <v/>
      </c>
      <c r="V245" s="32" t="str">
        <f aca="false">IF(OR(J245="",IF(R245&lt;&gt;"",R245,N245)=""),"",(IF(R245&lt;&gt;"",R245,N245)-J245)*100)</f>
        <v/>
      </c>
      <c r="W245" s="33" t="str">
        <f aca="false">IF(OR(K245="",IF(S245&lt;&gt;"",S245,O245)=""),"",K245-IF(S245&lt;&gt;"",S245,O245))</f>
        <v/>
      </c>
      <c r="X245" s="34" t="str">
        <f aca="false">IF(F245="","",IF(E245="Redirected (301)",IF(AA245="","Pending","Redirected – see target"),IF(OR(AA245="",H245=""),"Pending",IF(H245=0,IF(AA245&gt;0,"Win","Neutral"),IF(AA245&gt;=H245*(1+'How to use'!$C$15),"Win",IF(AA245&lt;=H245*(1+'How to use'!$C$16),"Loss","Neutral"))))))</f>
        <v/>
      </c>
      <c r="Y245" s="35" t="str">
        <f aca="false">IF(OR(F245="",C245=""),"",IF(P245&lt;&gt;"","Done",IF(L245&lt;&gt;"",C245+'How to use'!$C$19+'How to use'!$C$17,C245+'How to use'!$C$18+'How to use'!$C$17)))</f>
        <v/>
      </c>
      <c r="Z245" s="9"/>
      <c r="AA245" s="36" t="str">
        <f aca="false">IF(P245&lt;&gt;"",P245,IF(L245&lt;&gt;"",L245,""))</f>
        <v/>
      </c>
      <c r="AB245" s="36" t="str">
        <f aca="false">IF(Q245&lt;&gt;"",Q245,IF(M245&lt;&gt;"",M245,""))</f>
        <v/>
      </c>
    </row>
    <row r="246" customFormat="false" ht="15" hidden="false" customHeight="false" outlineLevel="0" collapsed="false">
      <c r="A246" s="9"/>
      <c r="B246" s="9"/>
      <c r="C246" s="26"/>
      <c r="D246" s="9"/>
      <c r="E246" s="9"/>
      <c r="F246" s="9"/>
      <c r="G246" s="27"/>
      <c r="H246" s="28"/>
      <c r="I246" s="28"/>
      <c r="J246" s="29" t="str">
        <f aca="false">IF(OR(H246="",I246="",I246=0),"",H246/I246)</f>
        <v/>
      </c>
      <c r="K246" s="30"/>
      <c r="L246" s="28"/>
      <c r="M246" s="28"/>
      <c r="N246" s="29" t="str">
        <f aca="false">IF(OR(L246="",M246="",M246=0),"",L246/M246)</f>
        <v/>
      </c>
      <c r="O246" s="30"/>
      <c r="P246" s="28"/>
      <c r="Q246" s="28"/>
      <c r="R246" s="29" t="str">
        <f aca="false">IF(OR(P246="",Q246="",Q246=0),"",P246/Q246)</f>
        <v/>
      </c>
      <c r="S246" s="30"/>
      <c r="T246" s="31" t="str">
        <f aca="false">IF(OR(AA246="",H246="",H246=0),"",AA246/H246-1)</f>
        <v/>
      </c>
      <c r="U246" s="31" t="str">
        <f aca="false">IF(OR(AB246="",I246="",I246=0),"",AB246/I246-1)</f>
        <v/>
      </c>
      <c r="V246" s="32" t="str">
        <f aca="false">IF(OR(J246="",IF(R246&lt;&gt;"",R246,N246)=""),"",(IF(R246&lt;&gt;"",R246,N246)-J246)*100)</f>
        <v/>
      </c>
      <c r="W246" s="33" t="str">
        <f aca="false">IF(OR(K246="",IF(S246&lt;&gt;"",S246,O246)=""),"",K246-IF(S246&lt;&gt;"",S246,O246))</f>
        <v/>
      </c>
      <c r="X246" s="34" t="str">
        <f aca="false">IF(F246="","",IF(E246="Redirected (301)",IF(AA246="","Pending","Redirected – see target"),IF(OR(AA246="",H246=""),"Pending",IF(H246=0,IF(AA246&gt;0,"Win","Neutral"),IF(AA246&gt;=H246*(1+'How to use'!$C$15),"Win",IF(AA246&lt;=H246*(1+'How to use'!$C$16),"Loss","Neutral"))))))</f>
        <v/>
      </c>
      <c r="Y246" s="35" t="str">
        <f aca="false">IF(OR(F246="",C246=""),"",IF(P246&lt;&gt;"","Done",IF(L246&lt;&gt;"",C246+'How to use'!$C$19+'How to use'!$C$17,C246+'How to use'!$C$18+'How to use'!$C$17)))</f>
        <v/>
      </c>
      <c r="Z246" s="9"/>
      <c r="AA246" s="36" t="str">
        <f aca="false">IF(P246&lt;&gt;"",P246,IF(L246&lt;&gt;"",L246,""))</f>
        <v/>
      </c>
      <c r="AB246" s="36" t="str">
        <f aca="false">IF(Q246&lt;&gt;"",Q246,IF(M246&lt;&gt;"",M246,""))</f>
        <v/>
      </c>
    </row>
    <row r="247" customFormat="false" ht="15" hidden="false" customHeight="false" outlineLevel="0" collapsed="false">
      <c r="A247" s="9"/>
      <c r="B247" s="9"/>
      <c r="C247" s="26"/>
      <c r="D247" s="9"/>
      <c r="E247" s="9"/>
      <c r="F247" s="9"/>
      <c r="G247" s="27"/>
      <c r="H247" s="28"/>
      <c r="I247" s="28"/>
      <c r="J247" s="29" t="str">
        <f aca="false">IF(OR(H247="",I247="",I247=0),"",H247/I247)</f>
        <v/>
      </c>
      <c r="K247" s="30"/>
      <c r="L247" s="28"/>
      <c r="M247" s="28"/>
      <c r="N247" s="29" t="str">
        <f aca="false">IF(OR(L247="",M247="",M247=0),"",L247/M247)</f>
        <v/>
      </c>
      <c r="O247" s="30"/>
      <c r="P247" s="28"/>
      <c r="Q247" s="28"/>
      <c r="R247" s="29" t="str">
        <f aca="false">IF(OR(P247="",Q247="",Q247=0),"",P247/Q247)</f>
        <v/>
      </c>
      <c r="S247" s="30"/>
      <c r="T247" s="31" t="str">
        <f aca="false">IF(OR(AA247="",H247="",H247=0),"",AA247/H247-1)</f>
        <v/>
      </c>
      <c r="U247" s="31" t="str">
        <f aca="false">IF(OR(AB247="",I247="",I247=0),"",AB247/I247-1)</f>
        <v/>
      </c>
      <c r="V247" s="32" t="str">
        <f aca="false">IF(OR(J247="",IF(R247&lt;&gt;"",R247,N247)=""),"",(IF(R247&lt;&gt;"",R247,N247)-J247)*100)</f>
        <v/>
      </c>
      <c r="W247" s="33" t="str">
        <f aca="false">IF(OR(K247="",IF(S247&lt;&gt;"",S247,O247)=""),"",K247-IF(S247&lt;&gt;"",S247,O247))</f>
        <v/>
      </c>
      <c r="X247" s="34" t="str">
        <f aca="false">IF(F247="","",IF(E247="Redirected (301)",IF(AA247="","Pending","Redirected – see target"),IF(OR(AA247="",H247=""),"Pending",IF(H247=0,IF(AA247&gt;0,"Win","Neutral"),IF(AA247&gt;=H247*(1+'How to use'!$C$15),"Win",IF(AA247&lt;=H247*(1+'How to use'!$C$16),"Loss","Neutral"))))))</f>
        <v/>
      </c>
      <c r="Y247" s="35" t="str">
        <f aca="false">IF(OR(F247="",C247=""),"",IF(P247&lt;&gt;"","Done",IF(L247&lt;&gt;"",C247+'How to use'!$C$19+'How to use'!$C$17,C247+'How to use'!$C$18+'How to use'!$C$17)))</f>
        <v/>
      </c>
      <c r="Z247" s="9"/>
      <c r="AA247" s="36" t="str">
        <f aca="false">IF(P247&lt;&gt;"",P247,IF(L247&lt;&gt;"",L247,""))</f>
        <v/>
      </c>
      <c r="AB247" s="36" t="str">
        <f aca="false">IF(Q247&lt;&gt;"",Q247,IF(M247&lt;&gt;"",M247,""))</f>
        <v/>
      </c>
    </row>
    <row r="248" customFormat="false" ht="15" hidden="false" customHeight="false" outlineLevel="0" collapsed="false">
      <c r="A248" s="9"/>
      <c r="B248" s="9"/>
      <c r="C248" s="26"/>
      <c r="D248" s="9"/>
      <c r="E248" s="9"/>
      <c r="F248" s="9"/>
      <c r="G248" s="27"/>
      <c r="H248" s="28"/>
      <c r="I248" s="28"/>
      <c r="J248" s="29" t="str">
        <f aca="false">IF(OR(H248="",I248="",I248=0),"",H248/I248)</f>
        <v/>
      </c>
      <c r="K248" s="30"/>
      <c r="L248" s="28"/>
      <c r="M248" s="28"/>
      <c r="N248" s="29" t="str">
        <f aca="false">IF(OR(L248="",M248="",M248=0),"",L248/M248)</f>
        <v/>
      </c>
      <c r="O248" s="30"/>
      <c r="P248" s="28"/>
      <c r="Q248" s="28"/>
      <c r="R248" s="29" t="str">
        <f aca="false">IF(OR(P248="",Q248="",Q248=0),"",P248/Q248)</f>
        <v/>
      </c>
      <c r="S248" s="30"/>
      <c r="T248" s="31" t="str">
        <f aca="false">IF(OR(AA248="",H248="",H248=0),"",AA248/H248-1)</f>
        <v/>
      </c>
      <c r="U248" s="31" t="str">
        <f aca="false">IF(OR(AB248="",I248="",I248=0),"",AB248/I248-1)</f>
        <v/>
      </c>
      <c r="V248" s="32" t="str">
        <f aca="false">IF(OR(J248="",IF(R248&lt;&gt;"",R248,N248)=""),"",(IF(R248&lt;&gt;"",R248,N248)-J248)*100)</f>
        <v/>
      </c>
      <c r="W248" s="33" t="str">
        <f aca="false">IF(OR(K248="",IF(S248&lt;&gt;"",S248,O248)=""),"",K248-IF(S248&lt;&gt;"",S248,O248))</f>
        <v/>
      </c>
      <c r="X248" s="34" t="str">
        <f aca="false">IF(F248="","",IF(E248="Redirected (301)",IF(AA248="","Pending","Redirected – see target"),IF(OR(AA248="",H248=""),"Pending",IF(H248=0,IF(AA248&gt;0,"Win","Neutral"),IF(AA248&gt;=H248*(1+'How to use'!$C$15),"Win",IF(AA248&lt;=H248*(1+'How to use'!$C$16),"Loss","Neutral"))))))</f>
        <v/>
      </c>
      <c r="Y248" s="35" t="str">
        <f aca="false">IF(OR(F248="",C248=""),"",IF(P248&lt;&gt;"","Done",IF(L248&lt;&gt;"",C248+'How to use'!$C$19+'How to use'!$C$17,C248+'How to use'!$C$18+'How to use'!$C$17)))</f>
        <v/>
      </c>
      <c r="Z248" s="9"/>
      <c r="AA248" s="36" t="str">
        <f aca="false">IF(P248&lt;&gt;"",P248,IF(L248&lt;&gt;"",L248,""))</f>
        <v/>
      </c>
      <c r="AB248" s="36" t="str">
        <f aca="false">IF(Q248&lt;&gt;"",Q248,IF(M248&lt;&gt;"",M248,""))</f>
        <v/>
      </c>
    </row>
    <row r="249" customFormat="false" ht="15" hidden="false" customHeight="false" outlineLevel="0" collapsed="false">
      <c r="A249" s="9"/>
      <c r="B249" s="9"/>
      <c r="C249" s="26"/>
      <c r="D249" s="9"/>
      <c r="E249" s="9"/>
      <c r="F249" s="9"/>
      <c r="G249" s="27"/>
      <c r="H249" s="28"/>
      <c r="I249" s="28"/>
      <c r="J249" s="29" t="str">
        <f aca="false">IF(OR(H249="",I249="",I249=0),"",H249/I249)</f>
        <v/>
      </c>
      <c r="K249" s="30"/>
      <c r="L249" s="28"/>
      <c r="M249" s="28"/>
      <c r="N249" s="29" t="str">
        <f aca="false">IF(OR(L249="",M249="",M249=0),"",L249/M249)</f>
        <v/>
      </c>
      <c r="O249" s="30"/>
      <c r="P249" s="28"/>
      <c r="Q249" s="28"/>
      <c r="R249" s="29" t="str">
        <f aca="false">IF(OR(P249="",Q249="",Q249=0),"",P249/Q249)</f>
        <v/>
      </c>
      <c r="S249" s="30"/>
      <c r="T249" s="31" t="str">
        <f aca="false">IF(OR(AA249="",H249="",H249=0),"",AA249/H249-1)</f>
        <v/>
      </c>
      <c r="U249" s="31" t="str">
        <f aca="false">IF(OR(AB249="",I249="",I249=0),"",AB249/I249-1)</f>
        <v/>
      </c>
      <c r="V249" s="32" t="str">
        <f aca="false">IF(OR(J249="",IF(R249&lt;&gt;"",R249,N249)=""),"",(IF(R249&lt;&gt;"",R249,N249)-J249)*100)</f>
        <v/>
      </c>
      <c r="W249" s="33" t="str">
        <f aca="false">IF(OR(K249="",IF(S249&lt;&gt;"",S249,O249)=""),"",K249-IF(S249&lt;&gt;"",S249,O249))</f>
        <v/>
      </c>
      <c r="X249" s="34" t="str">
        <f aca="false">IF(F249="","",IF(E249="Redirected (301)",IF(AA249="","Pending","Redirected – see target"),IF(OR(AA249="",H249=""),"Pending",IF(H249=0,IF(AA249&gt;0,"Win","Neutral"),IF(AA249&gt;=H249*(1+'How to use'!$C$15),"Win",IF(AA249&lt;=H249*(1+'How to use'!$C$16),"Loss","Neutral"))))))</f>
        <v/>
      </c>
      <c r="Y249" s="35" t="str">
        <f aca="false">IF(OR(F249="",C249=""),"",IF(P249&lt;&gt;"","Done",IF(L249&lt;&gt;"",C249+'How to use'!$C$19+'How to use'!$C$17,C249+'How to use'!$C$18+'How to use'!$C$17)))</f>
        <v/>
      </c>
      <c r="Z249" s="9"/>
      <c r="AA249" s="36" t="str">
        <f aca="false">IF(P249&lt;&gt;"",P249,IF(L249&lt;&gt;"",L249,""))</f>
        <v/>
      </c>
      <c r="AB249" s="36" t="str">
        <f aca="false">IF(Q249&lt;&gt;"",Q249,IF(M249&lt;&gt;"",M249,""))</f>
        <v/>
      </c>
    </row>
    <row r="250" customFormat="false" ht="15" hidden="false" customHeight="false" outlineLevel="0" collapsed="false">
      <c r="A250" s="9"/>
      <c r="B250" s="9"/>
      <c r="C250" s="26"/>
      <c r="D250" s="9"/>
      <c r="E250" s="9"/>
      <c r="F250" s="9"/>
      <c r="G250" s="27"/>
      <c r="H250" s="28"/>
      <c r="I250" s="28"/>
      <c r="J250" s="29" t="str">
        <f aca="false">IF(OR(H250="",I250="",I250=0),"",H250/I250)</f>
        <v/>
      </c>
      <c r="K250" s="30"/>
      <c r="L250" s="28"/>
      <c r="M250" s="28"/>
      <c r="N250" s="29" t="str">
        <f aca="false">IF(OR(L250="",M250="",M250=0),"",L250/M250)</f>
        <v/>
      </c>
      <c r="O250" s="30"/>
      <c r="P250" s="28"/>
      <c r="Q250" s="28"/>
      <c r="R250" s="29" t="str">
        <f aca="false">IF(OR(P250="",Q250="",Q250=0),"",P250/Q250)</f>
        <v/>
      </c>
      <c r="S250" s="30"/>
      <c r="T250" s="31" t="str">
        <f aca="false">IF(OR(AA250="",H250="",H250=0),"",AA250/H250-1)</f>
        <v/>
      </c>
      <c r="U250" s="31" t="str">
        <f aca="false">IF(OR(AB250="",I250="",I250=0),"",AB250/I250-1)</f>
        <v/>
      </c>
      <c r="V250" s="32" t="str">
        <f aca="false">IF(OR(J250="",IF(R250&lt;&gt;"",R250,N250)=""),"",(IF(R250&lt;&gt;"",R250,N250)-J250)*100)</f>
        <v/>
      </c>
      <c r="W250" s="33" t="str">
        <f aca="false">IF(OR(K250="",IF(S250&lt;&gt;"",S250,O250)=""),"",K250-IF(S250&lt;&gt;"",S250,O250))</f>
        <v/>
      </c>
      <c r="X250" s="34" t="str">
        <f aca="false">IF(F250="","",IF(E250="Redirected (301)",IF(AA250="","Pending","Redirected – see target"),IF(OR(AA250="",H250=""),"Pending",IF(H250=0,IF(AA250&gt;0,"Win","Neutral"),IF(AA250&gt;=H250*(1+'How to use'!$C$15),"Win",IF(AA250&lt;=H250*(1+'How to use'!$C$16),"Loss","Neutral"))))))</f>
        <v/>
      </c>
      <c r="Y250" s="35" t="str">
        <f aca="false">IF(OR(F250="",C250=""),"",IF(P250&lt;&gt;"","Done",IF(L250&lt;&gt;"",C250+'How to use'!$C$19+'How to use'!$C$17,C250+'How to use'!$C$18+'How to use'!$C$17)))</f>
        <v/>
      </c>
      <c r="Z250" s="9"/>
      <c r="AA250" s="36" t="str">
        <f aca="false">IF(P250&lt;&gt;"",P250,IF(L250&lt;&gt;"",L250,""))</f>
        <v/>
      </c>
      <c r="AB250" s="36" t="str">
        <f aca="false">IF(Q250&lt;&gt;"",Q250,IF(M250&lt;&gt;"",M250,""))</f>
        <v/>
      </c>
    </row>
    <row r="251" customFormat="false" ht="15" hidden="false" customHeight="false" outlineLevel="0" collapsed="false">
      <c r="A251" s="9"/>
      <c r="B251" s="9"/>
      <c r="C251" s="26"/>
      <c r="D251" s="9"/>
      <c r="E251" s="9"/>
      <c r="F251" s="9"/>
      <c r="G251" s="27"/>
      <c r="H251" s="28"/>
      <c r="I251" s="28"/>
      <c r="J251" s="29" t="str">
        <f aca="false">IF(OR(H251="",I251="",I251=0),"",H251/I251)</f>
        <v/>
      </c>
      <c r="K251" s="30"/>
      <c r="L251" s="28"/>
      <c r="M251" s="28"/>
      <c r="N251" s="29" t="str">
        <f aca="false">IF(OR(L251="",M251="",M251=0),"",L251/M251)</f>
        <v/>
      </c>
      <c r="O251" s="30"/>
      <c r="P251" s="28"/>
      <c r="Q251" s="28"/>
      <c r="R251" s="29" t="str">
        <f aca="false">IF(OR(P251="",Q251="",Q251=0),"",P251/Q251)</f>
        <v/>
      </c>
      <c r="S251" s="30"/>
      <c r="T251" s="31" t="str">
        <f aca="false">IF(OR(AA251="",H251="",H251=0),"",AA251/H251-1)</f>
        <v/>
      </c>
      <c r="U251" s="31" t="str">
        <f aca="false">IF(OR(AB251="",I251="",I251=0),"",AB251/I251-1)</f>
        <v/>
      </c>
      <c r="V251" s="32" t="str">
        <f aca="false">IF(OR(J251="",IF(R251&lt;&gt;"",R251,N251)=""),"",(IF(R251&lt;&gt;"",R251,N251)-J251)*100)</f>
        <v/>
      </c>
      <c r="W251" s="33" t="str">
        <f aca="false">IF(OR(K251="",IF(S251&lt;&gt;"",S251,O251)=""),"",K251-IF(S251&lt;&gt;"",S251,O251))</f>
        <v/>
      </c>
      <c r="X251" s="34" t="str">
        <f aca="false">IF(F251="","",IF(E251="Redirected (301)",IF(AA251="","Pending","Redirected – see target"),IF(OR(AA251="",H251=""),"Pending",IF(H251=0,IF(AA251&gt;0,"Win","Neutral"),IF(AA251&gt;=H251*(1+'How to use'!$C$15),"Win",IF(AA251&lt;=H251*(1+'How to use'!$C$16),"Loss","Neutral"))))))</f>
        <v/>
      </c>
      <c r="Y251" s="35" t="str">
        <f aca="false">IF(OR(F251="",C251=""),"",IF(P251&lt;&gt;"","Done",IF(L251&lt;&gt;"",C251+'How to use'!$C$19+'How to use'!$C$17,C251+'How to use'!$C$18+'How to use'!$C$17)))</f>
        <v/>
      </c>
      <c r="Z251" s="9"/>
      <c r="AA251" s="36" t="str">
        <f aca="false">IF(P251&lt;&gt;"",P251,IF(L251&lt;&gt;"",L251,""))</f>
        <v/>
      </c>
      <c r="AB251" s="36" t="str">
        <f aca="false">IF(Q251&lt;&gt;"",Q251,IF(M251&lt;&gt;"",M251,""))</f>
        <v/>
      </c>
    </row>
    <row r="252" customFormat="false" ht="15" hidden="false" customHeight="false" outlineLevel="0" collapsed="false">
      <c r="A252" s="9"/>
      <c r="B252" s="9"/>
      <c r="C252" s="26"/>
      <c r="D252" s="9"/>
      <c r="E252" s="9"/>
      <c r="F252" s="9"/>
      <c r="G252" s="27"/>
      <c r="H252" s="28"/>
      <c r="I252" s="28"/>
      <c r="J252" s="29" t="str">
        <f aca="false">IF(OR(H252="",I252="",I252=0),"",H252/I252)</f>
        <v/>
      </c>
      <c r="K252" s="30"/>
      <c r="L252" s="28"/>
      <c r="M252" s="28"/>
      <c r="N252" s="29" t="str">
        <f aca="false">IF(OR(L252="",M252="",M252=0),"",L252/M252)</f>
        <v/>
      </c>
      <c r="O252" s="30"/>
      <c r="P252" s="28"/>
      <c r="Q252" s="28"/>
      <c r="R252" s="29" t="str">
        <f aca="false">IF(OR(P252="",Q252="",Q252=0),"",P252/Q252)</f>
        <v/>
      </c>
      <c r="S252" s="30"/>
      <c r="T252" s="31" t="str">
        <f aca="false">IF(OR(AA252="",H252="",H252=0),"",AA252/H252-1)</f>
        <v/>
      </c>
      <c r="U252" s="31" t="str">
        <f aca="false">IF(OR(AB252="",I252="",I252=0),"",AB252/I252-1)</f>
        <v/>
      </c>
      <c r="V252" s="32" t="str">
        <f aca="false">IF(OR(J252="",IF(R252&lt;&gt;"",R252,N252)=""),"",(IF(R252&lt;&gt;"",R252,N252)-J252)*100)</f>
        <v/>
      </c>
      <c r="W252" s="33" t="str">
        <f aca="false">IF(OR(K252="",IF(S252&lt;&gt;"",S252,O252)=""),"",K252-IF(S252&lt;&gt;"",S252,O252))</f>
        <v/>
      </c>
      <c r="X252" s="34" t="str">
        <f aca="false">IF(F252="","",IF(E252="Redirected (301)",IF(AA252="","Pending","Redirected – see target"),IF(OR(AA252="",H252=""),"Pending",IF(H252=0,IF(AA252&gt;0,"Win","Neutral"),IF(AA252&gt;=H252*(1+'How to use'!$C$15),"Win",IF(AA252&lt;=H252*(1+'How to use'!$C$16),"Loss","Neutral"))))))</f>
        <v/>
      </c>
      <c r="Y252" s="35" t="str">
        <f aca="false">IF(OR(F252="",C252=""),"",IF(P252&lt;&gt;"","Done",IF(L252&lt;&gt;"",C252+'How to use'!$C$19+'How to use'!$C$17,C252+'How to use'!$C$18+'How to use'!$C$17)))</f>
        <v/>
      </c>
      <c r="Z252" s="9"/>
      <c r="AA252" s="36" t="str">
        <f aca="false">IF(P252&lt;&gt;"",P252,IF(L252&lt;&gt;"",L252,""))</f>
        <v/>
      </c>
      <c r="AB252" s="36" t="str">
        <f aca="false">IF(Q252&lt;&gt;"",Q252,IF(M252&lt;&gt;"",M252,""))</f>
        <v/>
      </c>
    </row>
    <row r="253" customFormat="false" ht="15" hidden="false" customHeight="false" outlineLevel="0" collapsed="false">
      <c r="A253" s="9"/>
      <c r="B253" s="9"/>
      <c r="C253" s="26"/>
      <c r="D253" s="9"/>
      <c r="E253" s="9"/>
      <c r="F253" s="9"/>
      <c r="G253" s="27"/>
      <c r="H253" s="28"/>
      <c r="I253" s="28"/>
      <c r="J253" s="29" t="str">
        <f aca="false">IF(OR(H253="",I253="",I253=0),"",H253/I253)</f>
        <v/>
      </c>
      <c r="K253" s="30"/>
      <c r="L253" s="28"/>
      <c r="M253" s="28"/>
      <c r="N253" s="29" t="str">
        <f aca="false">IF(OR(L253="",M253="",M253=0),"",L253/M253)</f>
        <v/>
      </c>
      <c r="O253" s="30"/>
      <c r="P253" s="28"/>
      <c r="Q253" s="28"/>
      <c r="R253" s="29" t="str">
        <f aca="false">IF(OR(P253="",Q253="",Q253=0),"",P253/Q253)</f>
        <v/>
      </c>
      <c r="S253" s="30"/>
      <c r="T253" s="31" t="str">
        <f aca="false">IF(OR(AA253="",H253="",H253=0),"",AA253/H253-1)</f>
        <v/>
      </c>
      <c r="U253" s="31" t="str">
        <f aca="false">IF(OR(AB253="",I253="",I253=0),"",AB253/I253-1)</f>
        <v/>
      </c>
      <c r="V253" s="32" t="str">
        <f aca="false">IF(OR(J253="",IF(R253&lt;&gt;"",R253,N253)=""),"",(IF(R253&lt;&gt;"",R253,N253)-J253)*100)</f>
        <v/>
      </c>
      <c r="W253" s="33" t="str">
        <f aca="false">IF(OR(K253="",IF(S253&lt;&gt;"",S253,O253)=""),"",K253-IF(S253&lt;&gt;"",S253,O253))</f>
        <v/>
      </c>
      <c r="X253" s="34" t="str">
        <f aca="false">IF(F253="","",IF(E253="Redirected (301)",IF(AA253="","Pending","Redirected – see target"),IF(OR(AA253="",H253=""),"Pending",IF(H253=0,IF(AA253&gt;0,"Win","Neutral"),IF(AA253&gt;=H253*(1+'How to use'!$C$15),"Win",IF(AA253&lt;=H253*(1+'How to use'!$C$16),"Loss","Neutral"))))))</f>
        <v/>
      </c>
      <c r="Y253" s="35" t="str">
        <f aca="false">IF(OR(F253="",C253=""),"",IF(P253&lt;&gt;"","Done",IF(L253&lt;&gt;"",C253+'How to use'!$C$19+'How to use'!$C$17,C253+'How to use'!$C$18+'How to use'!$C$17)))</f>
        <v/>
      </c>
      <c r="Z253" s="9"/>
      <c r="AA253" s="36" t="str">
        <f aca="false">IF(P253&lt;&gt;"",P253,IF(L253&lt;&gt;"",L253,""))</f>
        <v/>
      </c>
      <c r="AB253" s="36" t="str">
        <f aca="false">IF(Q253&lt;&gt;"",Q253,IF(M253&lt;&gt;"",M253,""))</f>
        <v/>
      </c>
    </row>
    <row r="254" customFormat="false" ht="15" hidden="false" customHeight="false" outlineLevel="0" collapsed="false">
      <c r="A254" s="9"/>
      <c r="B254" s="9"/>
      <c r="C254" s="26"/>
      <c r="D254" s="9"/>
      <c r="E254" s="9"/>
      <c r="F254" s="9"/>
      <c r="G254" s="27"/>
      <c r="H254" s="28"/>
      <c r="I254" s="28"/>
      <c r="J254" s="29" t="str">
        <f aca="false">IF(OR(H254="",I254="",I254=0),"",H254/I254)</f>
        <v/>
      </c>
      <c r="K254" s="30"/>
      <c r="L254" s="28"/>
      <c r="M254" s="28"/>
      <c r="N254" s="29" t="str">
        <f aca="false">IF(OR(L254="",M254="",M254=0),"",L254/M254)</f>
        <v/>
      </c>
      <c r="O254" s="30"/>
      <c r="P254" s="28"/>
      <c r="Q254" s="28"/>
      <c r="R254" s="29" t="str">
        <f aca="false">IF(OR(P254="",Q254="",Q254=0),"",P254/Q254)</f>
        <v/>
      </c>
      <c r="S254" s="30"/>
      <c r="T254" s="31" t="str">
        <f aca="false">IF(OR(AA254="",H254="",H254=0),"",AA254/H254-1)</f>
        <v/>
      </c>
      <c r="U254" s="31" t="str">
        <f aca="false">IF(OR(AB254="",I254="",I254=0),"",AB254/I254-1)</f>
        <v/>
      </c>
      <c r="V254" s="32" t="str">
        <f aca="false">IF(OR(J254="",IF(R254&lt;&gt;"",R254,N254)=""),"",(IF(R254&lt;&gt;"",R254,N254)-J254)*100)</f>
        <v/>
      </c>
      <c r="W254" s="33" t="str">
        <f aca="false">IF(OR(K254="",IF(S254&lt;&gt;"",S254,O254)=""),"",K254-IF(S254&lt;&gt;"",S254,O254))</f>
        <v/>
      </c>
      <c r="X254" s="34" t="str">
        <f aca="false">IF(F254="","",IF(E254="Redirected (301)",IF(AA254="","Pending","Redirected – see target"),IF(OR(AA254="",H254=""),"Pending",IF(H254=0,IF(AA254&gt;0,"Win","Neutral"),IF(AA254&gt;=H254*(1+'How to use'!$C$15),"Win",IF(AA254&lt;=H254*(1+'How to use'!$C$16),"Loss","Neutral"))))))</f>
        <v/>
      </c>
      <c r="Y254" s="35" t="str">
        <f aca="false">IF(OR(F254="",C254=""),"",IF(P254&lt;&gt;"","Done",IF(L254&lt;&gt;"",C254+'How to use'!$C$19+'How to use'!$C$17,C254+'How to use'!$C$18+'How to use'!$C$17)))</f>
        <v/>
      </c>
      <c r="Z254" s="9"/>
      <c r="AA254" s="36" t="str">
        <f aca="false">IF(P254&lt;&gt;"",P254,IF(L254&lt;&gt;"",L254,""))</f>
        <v/>
      </c>
      <c r="AB254" s="36" t="str">
        <f aca="false">IF(Q254&lt;&gt;"",Q254,IF(M254&lt;&gt;"",M254,""))</f>
        <v/>
      </c>
    </row>
    <row r="255" customFormat="false" ht="15" hidden="false" customHeight="false" outlineLevel="0" collapsed="false">
      <c r="A255" s="9"/>
      <c r="B255" s="9"/>
      <c r="C255" s="26"/>
      <c r="D255" s="9"/>
      <c r="E255" s="9"/>
      <c r="F255" s="9"/>
      <c r="G255" s="27"/>
      <c r="H255" s="28"/>
      <c r="I255" s="28"/>
      <c r="J255" s="29" t="str">
        <f aca="false">IF(OR(H255="",I255="",I255=0),"",H255/I255)</f>
        <v/>
      </c>
      <c r="K255" s="30"/>
      <c r="L255" s="28"/>
      <c r="M255" s="28"/>
      <c r="N255" s="29" t="str">
        <f aca="false">IF(OR(L255="",M255="",M255=0),"",L255/M255)</f>
        <v/>
      </c>
      <c r="O255" s="30"/>
      <c r="P255" s="28"/>
      <c r="Q255" s="28"/>
      <c r="R255" s="29" t="str">
        <f aca="false">IF(OR(P255="",Q255="",Q255=0),"",P255/Q255)</f>
        <v/>
      </c>
      <c r="S255" s="30"/>
      <c r="T255" s="31" t="str">
        <f aca="false">IF(OR(AA255="",H255="",H255=0),"",AA255/H255-1)</f>
        <v/>
      </c>
      <c r="U255" s="31" t="str">
        <f aca="false">IF(OR(AB255="",I255="",I255=0),"",AB255/I255-1)</f>
        <v/>
      </c>
      <c r="V255" s="32" t="str">
        <f aca="false">IF(OR(J255="",IF(R255&lt;&gt;"",R255,N255)=""),"",(IF(R255&lt;&gt;"",R255,N255)-J255)*100)</f>
        <v/>
      </c>
      <c r="W255" s="33" t="str">
        <f aca="false">IF(OR(K255="",IF(S255&lt;&gt;"",S255,O255)=""),"",K255-IF(S255&lt;&gt;"",S255,O255))</f>
        <v/>
      </c>
      <c r="X255" s="34" t="str">
        <f aca="false">IF(F255="","",IF(E255="Redirected (301)",IF(AA255="","Pending","Redirected – see target"),IF(OR(AA255="",H255=""),"Pending",IF(H255=0,IF(AA255&gt;0,"Win","Neutral"),IF(AA255&gt;=H255*(1+'How to use'!$C$15),"Win",IF(AA255&lt;=H255*(1+'How to use'!$C$16),"Loss","Neutral"))))))</f>
        <v/>
      </c>
      <c r="Y255" s="35" t="str">
        <f aca="false">IF(OR(F255="",C255=""),"",IF(P255&lt;&gt;"","Done",IF(L255&lt;&gt;"",C255+'How to use'!$C$19+'How to use'!$C$17,C255+'How to use'!$C$18+'How to use'!$C$17)))</f>
        <v/>
      </c>
      <c r="Z255" s="9"/>
      <c r="AA255" s="36" t="str">
        <f aca="false">IF(P255&lt;&gt;"",P255,IF(L255&lt;&gt;"",L255,""))</f>
        <v/>
      </c>
      <c r="AB255" s="36" t="str">
        <f aca="false">IF(Q255&lt;&gt;"",Q255,IF(M255&lt;&gt;"",M255,""))</f>
        <v/>
      </c>
    </row>
    <row r="256" customFormat="false" ht="15" hidden="false" customHeight="false" outlineLevel="0" collapsed="false">
      <c r="A256" s="9"/>
      <c r="B256" s="9"/>
      <c r="C256" s="26"/>
      <c r="D256" s="9"/>
      <c r="E256" s="9"/>
      <c r="F256" s="9"/>
      <c r="G256" s="27"/>
      <c r="H256" s="28"/>
      <c r="I256" s="28"/>
      <c r="J256" s="29" t="str">
        <f aca="false">IF(OR(H256="",I256="",I256=0),"",H256/I256)</f>
        <v/>
      </c>
      <c r="K256" s="30"/>
      <c r="L256" s="28"/>
      <c r="M256" s="28"/>
      <c r="N256" s="29" t="str">
        <f aca="false">IF(OR(L256="",M256="",M256=0),"",L256/M256)</f>
        <v/>
      </c>
      <c r="O256" s="30"/>
      <c r="P256" s="28"/>
      <c r="Q256" s="28"/>
      <c r="R256" s="29" t="str">
        <f aca="false">IF(OR(P256="",Q256="",Q256=0),"",P256/Q256)</f>
        <v/>
      </c>
      <c r="S256" s="30"/>
      <c r="T256" s="31" t="str">
        <f aca="false">IF(OR(AA256="",H256="",H256=0),"",AA256/H256-1)</f>
        <v/>
      </c>
      <c r="U256" s="31" t="str">
        <f aca="false">IF(OR(AB256="",I256="",I256=0),"",AB256/I256-1)</f>
        <v/>
      </c>
      <c r="V256" s="32" t="str">
        <f aca="false">IF(OR(J256="",IF(R256&lt;&gt;"",R256,N256)=""),"",(IF(R256&lt;&gt;"",R256,N256)-J256)*100)</f>
        <v/>
      </c>
      <c r="W256" s="33" t="str">
        <f aca="false">IF(OR(K256="",IF(S256&lt;&gt;"",S256,O256)=""),"",K256-IF(S256&lt;&gt;"",S256,O256))</f>
        <v/>
      </c>
      <c r="X256" s="34" t="str">
        <f aca="false">IF(F256="","",IF(E256="Redirected (301)",IF(AA256="","Pending","Redirected – see target"),IF(OR(AA256="",H256=""),"Pending",IF(H256=0,IF(AA256&gt;0,"Win","Neutral"),IF(AA256&gt;=H256*(1+'How to use'!$C$15),"Win",IF(AA256&lt;=H256*(1+'How to use'!$C$16),"Loss","Neutral"))))))</f>
        <v/>
      </c>
      <c r="Y256" s="35" t="str">
        <f aca="false">IF(OR(F256="",C256=""),"",IF(P256&lt;&gt;"","Done",IF(L256&lt;&gt;"",C256+'How to use'!$C$19+'How to use'!$C$17,C256+'How to use'!$C$18+'How to use'!$C$17)))</f>
        <v/>
      </c>
      <c r="Z256" s="9"/>
      <c r="AA256" s="36" t="str">
        <f aca="false">IF(P256&lt;&gt;"",P256,IF(L256&lt;&gt;"",L256,""))</f>
        <v/>
      </c>
      <c r="AB256" s="36" t="str">
        <f aca="false">IF(Q256&lt;&gt;"",Q256,IF(M256&lt;&gt;"",M256,""))</f>
        <v/>
      </c>
    </row>
    <row r="257" customFormat="false" ht="15" hidden="false" customHeight="false" outlineLevel="0" collapsed="false">
      <c r="A257" s="9"/>
      <c r="B257" s="9"/>
      <c r="C257" s="26"/>
      <c r="D257" s="9"/>
      <c r="E257" s="9"/>
      <c r="F257" s="9"/>
      <c r="G257" s="27"/>
      <c r="H257" s="28"/>
      <c r="I257" s="28"/>
      <c r="J257" s="29" t="str">
        <f aca="false">IF(OR(H257="",I257="",I257=0),"",H257/I257)</f>
        <v/>
      </c>
      <c r="K257" s="30"/>
      <c r="L257" s="28"/>
      <c r="M257" s="28"/>
      <c r="N257" s="29" t="str">
        <f aca="false">IF(OR(L257="",M257="",M257=0),"",L257/M257)</f>
        <v/>
      </c>
      <c r="O257" s="30"/>
      <c r="P257" s="28"/>
      <c r="Q257" s="28"/>
      <c r="R257" s="29" t="str">
        <f aca="false">IF(OR(P257="",Q257="",Q257=0),"",P257/Q257)</f>
        <v/>
      </c>
      <c r="S257" s="30"/>
      <c r="T257" s="31" t="str">
        <f aca="false">IF(OR(AA257="",H257="",H257=0),"",AA257/H257-1)</f>
        <v/>
      </c>
      <c r="U257" s="31" t="str">
        <f aca="false">IF(OR(AB257="",I257="",I257=0),"",AB257/I257-1)</f>
        <v/>
      </c>
      <c r="V257" s="32" t="str">
        <f aca="false">IF(OR(J257="",IF(R257&lt;&gt;"",R257,N257)=""),"",(IF(R257&lt;&gt;"",R257,N257)-J257)*100)</f>
        <v/>
      </c>
      <c r="W257" s="33" t="str">
        <f aca="false">IF(OR(K257="",IF(S257&lt;&gt;"",S257,O257)=""),"",K257-IF(S257&lt;&gt;"",S257,O257))</f>
        <v/>
      </c>
      <c r="X257" s="34" t="str">
        <f aca="false">IF(F257="","",IF(E257="Redirected (301)",IF(AA257="","Pending","Redirected – see target"),IF(OR(AA257="",H257=""),"Pending",IF(H257=0,IF(AA257&gt;0,"Win","Neutral"),IF(AA257&gt;=H257*(1+'How to use'!$C$15),"Win",IF(AA257&lt;=H257*(1+'How to use'!$C$16),"Loss","Neutral"))))))</f>
        <v/>
      </c>
      <c r="Y257" s="35" t="str">
        <f aca="false">IF(OR(F257="",C257=""),"",IF(P257&lt;&gt;"","Done",IF(L257&lt;&gt;"",C257+'How to use'!$C$19+'How to use'!$C$17,C257+'How to use'!$C$18+'How to use'!$C$17)))</f>
        <v/>
      </c>
      <c r="Z257" s="9"/>
      <c r="AA257" s="36" t="str">
        <f aca="false">IF(P257&lt;&gt;"",P257,IF(L257&lt;&gt;"",L257,""))</f>
        <v/>
      </c>
      <c r="AB257" s="36" t="str">
        <f aca="false">IF(Q257&lt;&gt;"",Q257,IF(M257&lt;&gt;"",M257,""))</f>
        <v/>
      </c>
    </row>
    <row r="258" customFormat="false" ht="15" hidden="false" customHeight="false" outlineLevel="0" collapsed="false">
      <c r="A258" s="9"/>
      <c r="B258" s="9"/>
      <c r="C258" s="26"/>
      <c r="D258" s="9"/>
      <c r="E258" s="9"/>
      <c r="F258" s="9"/>
      <c r="G258" s="27"/>
      <c r="H258" s="28"/>
      <c r="I258" s="28"/>
      <c r="J258" s="29" t="str">
        <f aca="false">IF(OR(H258="",I258="",I258=0),"",H258/I258)</f>
        <v/>
      </c>
      <c r="K258" s="30"/>
      <c r="L258" s="28"/>
      <c r="M258" s="28"/>
      <c r="N258" s="29" t="str">
        <f aca="false">IF(OR(L258="",M258="",M258=0),"",L258/M258)</f>
        <v/>
      </c>
      <c r="O258" s="30"/>
      <c r="P258" s="28"/>
      <c r="Q258" s="28"/>
      <c r="R258" s="29" t="str">
        <f aca="false">IF(OR(P258="",Q258="",Q258=0),"",P258/Q258)</f>
        <v/>
      </c>
      <c r="S258" s="30"/>
      <c r="T258" s="31" t="str">
        <f aca="false">IF(OR(AA258="",H258="",H258=0),"",AA258/H258-1)</f>
        <v/>
      </c>
      <c r="U258" s="31" t="str">
        <f aca="false">IF(OR(AB258="",I258="",I258=0),"",AB258/I258-1)</f>
        <v/>
      </c>
      <c r="V258" s="32" t="str">
        <f aca="false">IF(OR(J258="",IF(R258&lt;&gt;"",R258,N258)=""),"",(IF(R258&lt;&gt;"",R258,N258)-J258)*100)</f>
        <v/>
      </c>
      <c r="W258" s="33" t="str">
        <f aca="false">IF(OR(K258="",IF(S258&lt;&gt;"",S258,O258)=""),"",K258-IF(S258&lt;&gt;"",S258,O258))</f>
        <v/>
      </c>
      <c r="X258" s="34" t="str">
        <f aca="false">IF(F258="","",IF(E258="Redirected (301)",IF(AA258="","Pending","Redirected – see target"),IF(OR(AA258="",H258=""),"Pending",IF(H258=0,IF(AA258&gt;0,"Win","Neutral"),IF(AA258&gt;=H258*(1+'How to use'!$C$15),"Win",IF(AA258&lt;=H258*(1+'How to use'!$C$16),"Loss","Neutral"))))))</f>
        <v/>
      </c>
      <c r="Y258" s="35" t="str">
        <f aca="false">IF(OR(F258="",C258=""),"",IF(P258&lt;&gt;"","Done",IF(L258&lt;&gt;"",C258+'How to use'!$C$19+'How to use'!$C$17,C258+'How to use'!$C$18+'How to use'!$C$17)))</f>
        <v/>
      </c>
      <c r="Z258" s="9"/>
      <c r="AA258" s="36" t="str">
        <f aca="false">IF(P258&lt;&gt;"",P258,IF(L258&lt;&gt;"",L258,""))</f>
        <v/>
      </c>
      <c r="AB258" s="36" t="str">
        <f aca="false">IF(Q258&lt;&gt;"",Q258,IF(M258&lt;&gt;"",M258,""))</f>
        <v/>
      </c>
    </row>
    <row r="259" customFormat="false" ht="15" hidden="false" customHeight="false" outlineLevel="0" collapsed="false">
      <c r="A259" s="9"/>
      <c r="B259" s="9"/>
      <c r="C259" s="26"/>
      <c r="D259" s="9"/>
      <c r="E259" s="9"/>
      <c r="F259" s="9"/>
      <c r="G259" s="27"/>
      <c r="H259" s="28"/>
      <c r="I259" s="28"/>
      <c r="J259" s="29" t="str">
        <f aca="false">IF(OR(H259="",I259="",I259=0),"",H259/I259)</f>
        <v/>
      </c>
      <c r="K259" s="30"/>
      <c r="L259" s="28"/>
      <c r="M259" s="28"/>
      <c r="N259" s="29" t="str">
        <f aca="false">IF(OR(L259="",M259="",M259=0),"",L259/M259)</f>
        <v/>
      </c>
      <c r="O259" s="30"/>
      <c r="P259" s="28"/>
      <c r="Q259" s="28"/>
      <c r="R259" s="29" t="str">
        <f aca="false">IF(OR(P259="",Q259="",Q259=0),"",P259/Q259)</f>
        <v/>
      </c>
      <c r="S259" s="30"/>
      <c r="T259" s="31" t="str">
        <f aca="false">IF(OR(AA259="",H259="",H259=0),"",AA259/H259-1)</f>
        <v/>
      </c>
      <c r="U259" s="31" t="str">
        <f aca="false">IF(OR(AB259="",I259="",I259=0),"",AB259/I259-1)</f>
        <v/>
      </c>
      <c r="V259" s="32" t="str">
        <f aca="false">IF(OR(J259="",IF(R259&lt;&gt;"",R259,N259)=""),"",(IF(R259&lt;&gt;"",R259,N259)-J259)*100)</f>
        <v/>
      </c>
      <c r="W259" s="33" t="str">
        <f aca="false">IF(OR(K259="",IF(S259&lt;&gt;"",S259,O259)=""),"",K259-IF(S259&lt;&gt;"",S259,O259))</f>
        <v/>
      </c>
      <c r="X259" s="34" t="str">
        <f aca="false">IF(F259="","",IF(E259="Redirected (301)",IF(AA259="","Pending","Redirected – see target"),IF(OR(AA259="",H259=""),"Pending",IF(H259=0,IF(AA259&gt;0,"Win","Neutral"),IF(AA259&gt;=H259*(1+'How to use'!$C$15),"Win",IF(AA259&lt;=H259*(1+'How to use'!$C$16),"Loss","Neutral"))))))</f>
        <v/>
      </c>
      <c r="Y259" s="35" t="str">
        <f aca="false">IF(OR(F259="",C259=""),"",IF(P259&lt;&gt;"","Done",IF(L259&lt;&gt;"",C259+'How to use'!$C$19+'How to use'!$C$17,C259+'How to use'!$C$18+'How to use'!$C$17)))</f>
        <v/>
      </c>
      <c r="Z259" s="9"/>
      <c r="AA259" s="36" t="str">
        <f aca="false">IF(P259&lt;&gt;"",P259,IF(L259&lt;&gt;"",L259,""))</f>
        <v/>
      </c>
      <c r="AB259" s="36" t="str">
        <f aca="false">IF(Q259&lt;&gt;"",Q259,IF(M259&lt;&gt;"",M259,""))</f>
        <v/>
      </c>
    </row>
    <row r="260" customFormat="false" ht="15" hidden="false" customHeight="false" outlineLevel="0" collapsed="false">
      <c r="A260" s="9"/>
      <c r="B260" s="9"/>
      <c r="C260" s="26"/>
      <c r="D260" s="9"/>
      <c r="E260" s="9"/>
      <c r="F260" s="9"/>
      <c r="G260" s="27"/>
      <c r="H260" s="28"/>
      <c r="I260" s="28"/>
      <c r="J260" s="29" t="str">
        <f aca="false">IF(OR(H260="",I260="",I260=0),"",H260/I260)</f>
        <v/>
      </c>
      <c r="K260" s="30"/>
      <c r="L260" s="28"/>
      <c r="M260" s="28"/>
      <c r="N260" s="29" t="str">
        <f aca="false">IF(OR(L260="",M260="",M260=0),"",L260/M260)</f>
        <v/>
      </c>
      <c r="O260" s="30"/>
      <c r="P260" s="28"/>
      <c r="Q260" s="28"/>
      <c r="R260" s="29" t="str">
        <f aca="false">IF(OR(P260="",Q260="",Q260=0),"",P260/Q260)</f>
        <v/>
      </c>
      <c r="S260" s="30"/>
      <c r="T260" s="31" t="str">
        <f aca="false">IF(OR(AA260="",H260="",H260=0),"",AA260/H260-1)</f>
        <v/>
      </c>
      <c r="U260" s="31" t="str">
        <f aca="false">IF(OR(AB260="",I260="",I260=0),"",AB260/I260-1)</f>
        <v/>
      </c>
      <c r="V260" s="32" t="str">
        <f aca="false">IF(OR(J260="",IF(R260&lt;&gt;"",R260,N260)=""),"",(IF(R260&lt;&gt;"",R260,N260)-J260)*100)</f>
        <v/>
      </c>
      <c r="W260" s="33" t="str">
        <f aca="false">IF(OR(K260="",IF(S260&lt;&gt;"",S260,O260)=""),"",K260-IF(S260&lt;&gt;"",S260,O260))</f>
        <v/>
      </c>
      <c r="X260" s="34" t="str">
        <f aca="false">IF(F260="","",IF(E260="Redirected (301)",IF(AA260="","Pending","Redirected – see target"),IF(OR(AA260="",H260=""),"Pending",IF(H260=0,IF(AA260&gt;0,"Win","Neutral"),IF(AA260&gt;=H260*(1+'How to use'!$C$15),"Win",IF(AA260&lt;=H260*(1+'How to use'!$C$16),"Loss","Neutral"))))))</f>
        <v/>
      </c>
      <c r="Y260" s="35" t="str">
        <f aca="false">IF(OR(F260="",C260=""),"",IF(P260&lt;&gt;"","Done",IF(L260&lt;&gt;"",C260+'How to use'!$C$19+'How to use'!$C$17,C260+'How to use'!$C$18+'How to use'!$C$17)))</f>
        <v/>
      </c>
      <c r="Z260" s="9"/>
      <c r="AA260" s="36" t="str">
        <f aca="false">IF(P260&lt;&gt;"",P260,IF(L260&lt;&gt;"",L260,""))</f>
        <v/>
      </c>
      <c r="AB260" s="36" t="str">
        <f aca="false">IF(Q260&lt;&gt;"",Q260,IF(M260&lt;&gt;"",M260,""))</f>
        <v/>
      </c>
    </row>
    <row r="261" customFormat="false" ht="15" hidden="false" customHeight="false" outlineLevel="0" collapsed="false">
      <c r="A261" s="9"/>
      <c r="B261" s="9"/>
      <c r="C261" s="26"/>
      <c r="D261" s="9"/>
      <c r="E261" s="9"/>
      <c r="F261" s="9"/>
      <c r="G261" s="27"/>
      <c r="H261" s="28"/>
      <c r="I261" s="28"/>
      <c r="J261" s="29" t="str">
        <f aca="false">IF(OR(H261="",I261="",I261=0),"",H261/I261)</f>
        <v/>
      </c>
      <c r="K261" s="30"/>
      <c r="L261" s="28"/>
      <c r="M261" s="28"/>
      <c r="N261" s="29" t="str">
        <f aca="false">IF(OR(L261="",M261="",M261=0),"",L261/M261)</f>
        <v/>
      </c>
      <c r="O261" s="30"/>
      <c r="P261" s="28"/>
      <c r="Q261" s="28"/>
      <c r="R261" s="29" t="str">
        <f aca="false">IF(OR(P261="",Q261="",Q261=0),"",P261/Q261)</f>
        <v/>
      </c>
      <c r="S261" s="30"/>
      <c r="T261" s="31" t="str">
        <f aca="false">IF(OR(AA261="",H261="",H261=0),"",AA261/H261-1)</f>
        <v/>
      </c>
      <c r="U261" s="31" t="str">
        <f aca="false">IF(OR(AB261="",I261="",I261=0),"",AB261/I261-1)</f>
        <v/>
      </c>
      <c r="V261" s="32" t="str">
        <f aca="false">IF(OR(J261="",IF(R261&lt;&gt;"",R261,N261)=""),"",(IF(R261&lt;&gt;"",R261,N261)-J261)*100)</f>
        <v/>
      </c>
      <c r="W261" s="33" t="str">
        <f aca="false">IF(OR(K261="",IF(S261&lt;&gt;"",S261,O261)=""),"",K261-IF(S261&lt;&gt;"",S261,O261))</f>
        <v/>
      </c>
      <c r="X261" s="34" t="str">
        <f aca="false">IF(F261="","",IF(E261="Redirected (301)",IF(AA261="","Pending","Redirected – see target"),IF(OR(AA261="",H261=""),"Pending",IF(H261=0,IF(AA261&gt;0,"Win","Neutral"),IF(AA261&gt;=H261*(1+'How to use'!$C$15),"Win",IF(AA261&lt;=H261*(1+'How to use'!$C$16),"Loss","Neutral"))))))</f>
        <v/>
      </c>
      <c r="Y261" s="35" t="str">
        <f aca="false">IF(OR(F261="",C261=""),"",IF(P261&lt;&gt;"","Done",IF(L261&lt;&gt;"",C261+'How to use'!$C$19+'How to use'!$C$17,C261+'How to use'!$C$18+'How to use'!$C$17)))</f>
        <v/>
      </c>
      <c r="Z261" s="9"/>
      <c r="AA261" s="36" t="str">
        <f aca="false">IF(P261&lt;&gt;"",P261,IF(L261&lt;&gt;"",L261,""))</f>
        <v/>
      </c>
      <c r="AB261" s="36" t="str">
        <f aca="false">IF(Q261&lt;&gt;"",Q261,IF(M261&lt;&gt;"",M261,""))</f>
        <v/>
      </c>
    </row>
    <row r="262" customFormat="false" ht="15" hidden="false" customHeight="false" outlineLevel="0" collapsed="false">
      <c r="A262" s="9"/>
      <c r="B262" s="9"/>
      <c r="C262" s="26"/>
      <c r="D262" s="9"/>
      <c r="E262" s="9"/>
      <c r="F262" s="9"/>
      <c r="G262" s="27"/>
      <c r="H262" s="28"/>
      <c r="I262" s="28"/>
      <c r="J262" s="29" t="str">
        <f aca="false">IF(OR(H262="",I262="",I262=0),"",H262/I262)</f>
        <v/>
      </c>
      <c r="K262" s="30"/>
      <c r="L262" s="28"/>
      <c r="M262" s="28"/>
      <c r="N262" s="29" t="str">
        <f aca="false">IF(OR(L262="",M262="",M262=0),"",L262/M262)</f>
        <v/>
      </c>
      <c r="O262" s="30"/>
      <c r="P262" s="28"/>
      <c r="Q262" s="28"/>
      <c r="R262" s="29" t="str">
        <f aca="false">IF(OR(P262="",Q262="",Q262=0),"",P262/Q262)</f>
        <v/>
      </c>
      <c r="S262" s="30"/>
      <c r="T262" s="31" t="str">
        <f aca="false">IF(OR(AA262="",H262="",H262=0),"",AA262/H262-1)</f>
        <v/>
      </c>
      <c r="U262" s="31" t="str">
        <f aca="false">IF(OR(AB262="",I262="",I262=0),"",AB262/I262-1)</f>
        <v/>
      </c>
      <c r="V262" s="32" t="str">
        <f aca="false">IF(OR(J262="",IF(R262&lt;&gt;"",R262,N262)=""),"",(IF(R262&lt;&gt;"",R262,N262)-J262)*100)</f>
        <v/>
      </c>
      <c r="W262" s="33" t="str">
        <f aca="false">IF(OR(K262="",IF(S262&lt;&gt;"",S262,O262)=""),"",K262-IF(S262&lt;&gt;"",S262,O262))</f>
        <v/>
      </c>
      <c r="X262" s="34" t="str">
        <f aca="false">IF(F262="","",IF(E262="Redirected (301)",IF(AA262="","Pending","Redirected – see target"),IF(OR(AA262="",H262=""),"Pending",IF(H262=0,IF(AA262&gt;0,"Win","Neutral"),IF(AA262&gt;=H262*(1+'How to use'!$C$15),"Win",IF(AA262&lt;=H262*(1+'How to use'!$C$16),"Loss","Neutral"))))))</f>
        <v/>
      </c>
      <c r="Y262" s="35" t="str">
        <f aca="false">IF(OR(F262="",C262=""),"",IF(P262&lt;&gt;"","Done",IF(L262&lt;&gt;"",C262+'How to use'!$C$19+'How to use'!$C$17,C262+'How to use'!$C$18+'How to use'!$C$17)))</f>
        <v/>
      </c>
      <c r="Z262" s="9"/>
      <c r="AA262" s="36" t="str">
        <f aca="false">IF(P262&lt;&gt;"",P262,IF(L262&lt;&gt;"",L262,""))</f>
        <v/>
      </c>
      <c r="AB262" s="36" t="str">
        <f aca="false">IF(Q262&lt;&gt;"",Q262,IF(M262&lt;&gt;"",M262,""))</f>
        <v/>
      </c>
    </row>
    <row r="263" customFormat="false" ht="15" hidden="false" customHeight="false" outlineLevel="0" collapsed="false">
      <c r="A263" s="9"/>
      <c r="B263" s="9"/>
      <c r="C263" s="26"/>
      <c r="D263" s="9"/>
      <c r="E263" s="9"/>
      <c r="F263" s="9"/>
      <c r="G263" s="27"/>
      <c r="H263" s="28"/>
      <c r="I263" s="28"/>
      <c r="J263" s="29" t="str">
        <f aca="false">IF(OR(H263="",I263="",I263=0),"",H263/I263)</f>
        <v/>
      </c>
      <c r="K263" s="30"/>
      <c r="L263" s="28"/>
      <c r="M263" s="28"/>
      <c r="N263" s="29" t="str">
        <f aca="false">IF(OR(L263="",M263="",M263=0),"",L263/M263)</f>
        <v/>
      </c>
      <c r="O263" s="30"/>
      <c r="P263" s="28"/>
      <c r="Q263" s="28"/>
      <c r="R263" s="29" t="str">
        <f aca="false">IF(OR(P263="",Q263="",Q263=0),"",P263/Q263)</f>
        <v/>
      </c>
      <c r="S263" s="30"/>
      <c r="T263" s="31" t="str">
        <f aca="false">IF(OR(AA263="",H263="",H263=0),"",AA263/H263-1)</f>
        <v/>
      </c>
      <c r="U263" s="31" t="str">
        <f aca="false">IF(OR(AB263="",I263="",I263=0),"",AB263/I263-1)</f>
        <v/>
      </c>
      <c r="V263" s="32" t="str">
        <f aca="false">IF(OR(J263="",IF(R263&lt;&gt;"",R263,N263)=""),"",(IF(R263&lt;&gt;"",R263,N263)-J263)*100)</f>
        <v/>
      </c>
      <c r="W263" s="33" t="str">
        <f aca="false">IF(OR(K263="",IF(S263&lt;&gt;"",S263,O263)=""),"",K263-IF(S263&lt;&gt;"",S263,O263))</f>
        <v/>
      </c>
      <c r="X263" s="34" t="str">
        <f aca="false">IF(F263="","",IF(E263="Redirected (301)",IF(AA263="","Pending","Redirected – see target"),IF(OR(AA263="",H263=""),"Pending",IF(H263=0,IF(AA263&gt;0,"Win","Neutral"),IF(AA263&gt;=H263*(1+'How to use'!$C$15),"Win",IF(AA263&lt;=H263*(1+'How to use'!$C$16),"Loss","Neutral"))))))</f>
        <v/>
      </c>
      <c r="Y263" s="35" t="str">
        <f aca="false">IF(OR(F263="",C263=""),"",IF(P263&lt;&gt;"","Done",IF(L263&lt;&gt;"",C263+'How to use'!$C$19+'How to use'!$C$17,C263+'How to use'!$C$18+'How to use'!$C$17)))</f>
        <v/>
      </c>
      <c r="Z263" s="9"/>
      <c r="AA263" s="36" t="str">
        <f aca="false">IF(P263&lt;&gt;"",P263,IF(L263&lt;&gt;"",L263,""))</f>
        <v/>
      </c>
      <c r="AB263" s="36" t="str">
        <f aca="false">IF(Q263&lt;&gt;"",Q263,IF(M263&lt;&gt;"",M263,""))</f>
        <v/>
      </c>
    </row>
    <row r="264" customFormat="false" ht="15" hidden="false" customHeight="false" outlineLevel="0" collapsed="false">
      <c r="A264" s="9"/>
      <c r="B264" s="9"/>
      <c r="C264" s="26"/>
      <c r="D264" s="9"/>
      <c r="E264" s="9"/>
      <c r="F264" s="9"/>
      <c r="G264" s="27"/>
      <c r="H264" s="28"/>
      <c r="I264" s="28"/>
      <c r="J264" s="29" t="str">
        <f aca="false">IF(OR(H264="",I264="",I264=0),"",H264/I264)</f>
        <v/>
      </c>
      <c r="K264" s="30"/>
      <c r="L264" s="28"/>
      <c r="M264" s="28"/>
      <c r="N264" s="29" t="str">
        <f aca="false">IF(OR(L264="",M264="",M264=0),"",L264/M264)</f>
        <v/>
      </c>
      <c r="O264" s="30"/>
      <c r="P264" s="28"/>
      <c r="Q264" s="28"/>
      <c r="R264" s="29" t="str">
        <f aca="false">IF(OR(P264="",Q264="",Q264=0),"",P264/Q264)</f>
        <v/>
      </c>
      <c r="S264" s="30"/>
      <c r="T264" s="31" t="str">
        <f aca="false">IF(OR(AA264="",H264="",H264=0),"",AA264/H264-1)</f>
        <v/>
      </c>
      <c r="U264" s="31" t="str">
        <f aca="false">IF(OR(AB264="",I264="",I264=0),"",AB264/I264-1)</f>
        <v/>
      </c>
      <c r="V264" s="32" t="str">
        <f aca="false">IF(OR(J264="",IF(R264&lt;&gt;"",R264,N264)=""),"",(IF(R264&lt;&gt;"",R264,N264)-J264)*100)</f>
        <v/>
      </c>
      <c r="W264" s="33" t="str">
        <f aca="false">IF(OR(K264="",IF(S264&lt;&gt;"",S264,O264)=""),"",K264-IF(S264&lt;&gt;"",S264,O264))</f>
        <v/>
      </c>
      <c r="X264" s="34" t="str">
        <f aca="false">IF(F264="","",IF(E264="Redirected (301)",IF(AA264="","Pending","Redirected – see target"),IF(OR(AA264="",H264=""),"Pending",IF(H264=0,IF(AA264&gt;0,"Win","Neutral"),IF(AA264&gt;=H264*(1+'How to use'!$C$15),"Win",IF(AA264&lt;=H264*(1+'How to use'!$C$16),"Loss","Neutral"))))))</f>
        <v/>
      </c>
      <c r="Y264" s="35" t="str">
        <f aca="false">IF(OR(F264="",C264=""),"",IF(P264&lt;&gt;"","Done",IF(L264&lt;&gt;"",C264+'How to use'!$C$19+'How to use'!$C$17,C264+'How to use'!$C$18+'How to use'!$C$17)))</f>
        <v/>
      </c>
      <c r="Z264" s="9"/>
      <c r="AA264" s="36" t="str">
        <f aca="false">IF(P264&lt;&gt;"",P264,IF(L264&lt;&gt;"",L264,""))</f>
        <v/>
      </c>
      <c r="AB264" s="36" t="str">
        <f aca="false">IF(Q264&lt;&gt;"",Q264,IF(M264&lt;&gt;"",M264,""))</f>
        <v/>
      </c>
    </row>
    <row r="265" customFormat="false" ht="15" hidden="false" customHeight="false" outlineLevel="0" collapsed="false">
      <c r="A265" s="9"/>
      <c r="B265" s="9"/>
      <c r="C265" s="26"/>
      <c r="D265" s="9"/>
      <c r="E265" s="9"/>
      <c r="F265" s="9"/>
      <c r="G265" s="27"/>
      <c r="H265" s="28"/>
      <c r="I265" s="28"/>
      <c r="J265" s="29" t="str">
        <f aca="false">IF(OR(H265="",I265="",I265=0),"",H265/I265)</f>
        <v/>
      </c>
      <c r="K265" s="30"/>
      <c r="L265" s="28"/>
      <c r="M265" s="28"/>
      <c r="N265" s="29" t="str">
        <f aca="false">IF(OR(L265="",M265="",M265=0),"",L265/M265)</f>
        <v/>
      </c>
      <c r="O265" s="30"/>
      <c r="P265" s="28"/>
      <c r="Q265" s="28"/>
      <c r="R265" s="29" t="str">
        <f aca="false">IF(OR(P265="",Q265="",Q265=0),"",P265/Q265)</f>
        <v/>
      </c>
      <c r="S265" s="30"/>
      <c r="T265" s="31" t="str">
        <f aca="false">IF(OR(AA265="",H265="",H265=0),"",AA265/H265-1)</f>
        <v/>
      </c>
      <c r="U265" s="31" t="str">
        <f aca="false">IF(OR(AB265="",I265="",I265=0),"",AB265/I265-1)</f>
        <v/>
      </c>
      <c r="V265" s="32" t="str">
        <f aca="false">IF(OR(J265="",IF(R265&lt;&gt;"",R265,N265)=""),"",(IF(R265&lt;&gt;"",R265,N265)-J265)*100)</f>
        <v/>
      </c>
      <c r="W265" s="33" t="str">
        <f aca="false">IF(OR(K265="",IF(S265&lt;&gt;"",S265,O265)=""),"",K265-IF(S265&lt;&gt;"",S265,O265))</f>
        <v/>
      </c>
      <c r="X265" s="34" t="str">
        <f aca="false">IF(F265="","",IF(E265="Redirected (301)",IF(AA265="","Pending","Redirected – see target"),IF(OR(AA265="",H265=""),"Pending",IF(H265=0,IF(AA265&gt;0,"Win","Neutral"),IF(AA265&gt;=H265*(1+'How to use'!$C$15),"Win",IF(AA265&lt;=H265*(1+'How to use'!$C$16),"Loss","Neutral"))))))</f>
        <v/>
      </c>
      <c r="Y265" s="35" t="str">
        <f aca="false">IF(OR(F265="",C265=""),"",IF(P265&lt;&gt;"","Done",IF(L265&lt;&gt;"",C265+'How to use'!$C$19+'How to use'!$C$17,C265+'How to use'!$C$18+'How to use'!$C$17)))</f>
        <v/>
      </c>
      <c r="Z265" s="9"/>
      <c r="AA265" s="36" t="str">
        <f aca="false">IF(P265&lt;&gt;"",P265,IF(L265&lt;&gt;"",L265,""))</f>
        <v/>
      </c>
      <c r="AB265" s="36" t="str">
        <f aca="false">IF(Q265&lt;&gt;"",Q265,IF(M265&lt;&gt;"",M265,""))</f>
        <v/>
      </c>
    </row>
    <row r="266" customFormat="false" ht="15" hidden="false" customHeight="false" outlineLevel="0" collapsed="false">
      <c r="A266" s="9"/>
      <c r="B266" s="9"/>
      <c r="C266" s="26"/>
      <c r="D266" s="9"/>
      <c r="E266" s="9"/>
      <c r="F266" s="9"/>
      <c r="G266" s="27"/>
      <c r="H266" s="28"/>
      <c r="I266" s="28"/>
      <c r="J266" s="29" t="str">
        <f aca="false">IF(OR(H266="",I266="",I266=0),"",H266/I266)</f>
        <v/>
      </c>
      <c r="K266" s="30"/>
      <c r="L266" s="28"/>
      <c r="M266" s="28"/>
      <c r="N266" s="29" t="str">
        <f aca="false">IF(OR(L266="",M266="",M266=0),"",L266/M266)</f>
        <v/>
      </c>
      <c r="O266" s="30"/>
      <c r="P266" s="28"/>
      <c r="Q266" s="28"/>
      <c r="R266" s="29" t="str">
        <f aca="false">IF(OR(P266="",Q266="",Q266=0),"",P266/Q266)</f>
        <v/>
      </c>
      <c r="S266" s="30"/>
      <c r="T266" s="31" t="str">
        <f aca="false">IF(OR(AA266="",H266="",H266=0),"",AA266/H266-1)</f>
        <v/>
      </c>
      <c r="U266" s="31" t="str">
        <f aca="false">IF(OR(AB266="",I266="",I266=0),"",AB266/I266-1)</f>
        <v/>
      </c>
      <c r="V266" s="32" t="str">
        <f aca="false">IF(OR(J266="",IF(R266&lt;&gt;"",R266,N266)=""),"",(IF(R266&lt;&gt;"",R266,N266)-J266)*100)</f>
        <v/>
      </c>
      <c r="W266" s="33" t="str">
        <f aca="false">IF(OR(K266="",IF(S266&lt;&gt;"",S266,O266)=""),"",K266-IF(S266&lt;&gt;"",S266,O266))</f>
        <v/>
      </c>
      <c r="X266" s="34" t="str">
        <f aca="false">IF(F266="","",IF(E266="Redirected (301)",IF(AA266="","Pending","Redirected – see target"),IF(OR(AA266="",H266=""),"Pending",IF(H266=0,IF(AA266&gt;0,"Win","Neutral"),IF(AA266&gt;=H266*(1+'How to use'!$C$15),"Win",IF(AA266&lt;=H266*(1+'How to use'!$C$16),"Loss","Neutral"))))))</f>
        <v/>
      </c>
      <c r="Y266" s="35" t="str">
        <f aca="false">IF(OR(F266="",C266=""),"",IF(P266&lt;&gt;"","Done",IF(L266&lt;&gt;"",C266+'How to use'!$C$19+'How to use'!$C$17,C266+'How to use'!$C$18+'How to use'!$C$17)))</f>
        <v/>
      </c>
      <c r="Z266" s="9"/>
      <c r="AA266" s="36" t="str">
        <f aca="false">IF(P266&lt;&gt;"",P266,IF(L266&lt;&gt;"",L266,""))</f>
        <v/>
      </c>
      <c r="AB266" s="36" t="str">
        <f aca="false">IF(Q266&lt;&gt;"",Q266,IF(M266&lt;&gt;"",M266,""))</f>
        <v/>
      </c>
    </row>
    <row r="267" customFormat="false" ht="15" hidden="false" customHeight="false" outlineLevel="0" collapsed="false">
      <c r="A267" s="9"/>
      <c r="B267" s="9"/>
      <c r="C267" s="26"/>
      <c r="D267" s="9"/>
      <c r="E267" s="9"/>
      <c r="F267" s="9"/>
      <c r="G267" s="27"/>
      <c r="H267" s="28"/>
      <c r="I267" s="28"/>
      <c r="J267" s="29" t="str">
        <f aca="false">IF(OR(H267="",I267="",I267=0),"",H267/I267)</f>
        <v/>
      </c>
      <c r="K267" s="30"/>
      <c r="L267" s="28"/>
      <c r="M267" s="28"/>
      <c r="N267" s="29" t="str">
        <f aca="false">IF(OR(L267="",M267="",M267=0),"",L267/M267)</f>
        <v/>
      </c>
      <c r="O267" s="30"/>
      <c r="P267" s="28"/>
      <c r="Q267" s="28"/>
      <c r="R267" s="29" t="str">
        <f aca="false">IF(OR(P267="",Q267="",Q267=0),"",P267/Q267)</f>
        <v/>
      </c>
      <c r="S267" s="30"/>
      <c r="T267" s="31" t="str">
        <f aca="false">IF(OR(AA267="",H267="",H267=0),"",AA267/H267-1)</f>
        <v/>
      </c>
      <c r="U267" s="31" t="str">
        <f aca="false">IF(OR(AB267="",I267="",I267=0),"",AB267/I267-1)</f>
        <v/>
      </c>
      <c r="V267" s="32" t="str">
        <f aca="false">IF(OR(J267="",IF(R267&lt;&gt;"",R267,N267)=""),"",(IF(R267&lt;&gt;"",R267,N267)-J267)*100)</f>
        <v/>
      </c>
      <c r="W267" s="33" t="str">
        <f aca="false">IF(OR(K267="",IF(S267&lt;&gt;"",S267,O267)=""),"",K267-IF(S267&lt;&gt;"",S267,O267))</f>
        <v/>
      </c>
      <c r="X267" s="34" t="str">
        <f aca="false">IF(F267="","",IF(E267="Redirected (301)",IF(AA267="","Pending","Redirected – see target"),IF(OR(AA267="",H267=""),"Pending",IF(H267=0,IF(AA267&gt;0,"Win","Neutral"),IF(AA267&gt;=H267*(1+'How to use'!$C$15),"Win",IF(AA267&lt;=H267*(1+'How to use'!$C$16),"Loss","Neutral"))))))</f>
        <v/>
      </c>
      <c r="Y267" s="35" t="str">
        <f aca="false">IF(OR(F267="",C267=""),"",IF(P267&lt;&gt;"","Done",IF(L267&lt;&gt;"",C267+'How to use'!$C$19+'How to use'!$C$17,C267+'How to use'!$C$18+'How to use'!$C$17)))</f>
        <v/>
      </c>
      <c r="Z267" s="9"/>
      <c r="AA267" s="36" t="str">
        <f aca="false">IF(P267&lt;&gt;"",P267,IF(L267&lt;&gt;"",L267,""))</f>
        <v/>
      </c>
      <c r="AB267" s="36" t="str">
        <f aca="false">IF(Q267&lt;&gt;"",Q267,IF(M267&lt;&gt;"",M267,""))</f>
        <v/>
      </c>
    </row>
    <row r="268" customFormat="false" ht="15" hidden="false" customHeight="false" outlineLevel="0" collapsed="false">
      <c r="A268" s="9"/>
      <c r="B268" s="9"/>
      <c r="C268" s="26"/>
      <c r="D268" s="9"/>
      <c r="E268" s="9"/>
      <c r="F268" s="9"/>
      <c r="G268" s="27"/>
      <c r="H268" s="28"/>
      <c r="I268" s="28"/>
      <c r="J268" s="29" t="str">
        <f aca="false">IF(OR(H268="",I268="",I268=0),"",H268/I268)</f>
        <v/>
      </c>
      <c r="K268" s="30"/>
      <c r="L268" s="28"/>
      <c r="M268" s="28"/>
      <c r="N268" s="29" t="str">
        <f aca="false">IF(OR(L268="",M268="",M268=0),"",L268/M268)</f>
        <v/>
      </c>
      <c r="O268" s="30"/>
      <c r="P268" s="28"/>
      <c r="Q268" s="28"/>
      <c r="R268" s="29" t="str">
        <f aca="false">IF(OR(P268="",Q268="",Q268=0),"",P268/Q268)</f>
        <v/>
      </c>
      <c r="S268" s="30"/>
      <c r="T268" s="31" t="str">
        <f aca="false">IF(OR(AA268="",H268="",H268=0),"",AA268/H268-1)</f>
        <v/>
      </c>
      <c r="U268" s="31" t="str">
        <f aca="false">IF(OR(AB268="",I268="",I268=0),"",AB268/I268-1)</f>
        <v/>
      </c>
      <c r="V268" s="32" t="str">
        <f aca="false">IF(OR(J268="",IF(R268&lt;&gt;"",R268,N268)=""),"",(IF(R268&lt;&gt;"",R268,N268)-J268)*100)</f>
        <v/>
      </c>
      <c r="W268" s="33" t="str">
        <f aca="false">IF(OR(K268="",IF(S268&lt;&gt;"",S268,O268)=""),"",K268-IF(S268&lt;&gt;"",S268,O268))</f>
        <v/>
      </c>
      <c r="X268" s="34" t="str">
        <f aca="false">IF(F268="","",IF(E268="Redirected (301)",IF(AA268="","Pending","Redirected – see target"),IF(OR(AA268="",H268=""),"Pending",IF(H268=0,IF(AA268&gt;0,"Win","Neutral"),IF(AA268&gt;=H268*(1+'How to use'!$C$15),"Win",IF(AA268&lt;=H268*(1+'How to use'!$C$16),"Loss","Neutral"))))))</f>
        <v/>
      </c>
      <c r="Y268" s="35" t="str">
        <f aca="false">IF(OR(F268="",C268=""),"",IF(P268&lt;&gt;"","Done",IF(L268&lt;&gt;"",C268+'How to use'!$C$19+'How to use'!$C$17,C268+'How to use'!$C$18+'How to use'!$C$17)))</f>
        <v/>
      </c>
      <c r="Z268" s="9"/>
      <c r="AA268" s="36" t="str">
        <f aca="false">IF(P268&lt;&gt;"",P268,IF(L268&lt;&gt;"",L268,""))</f>
        <v/>
      </c>
      <c r="AB268" s="36" t="str">
        <f aca="false">IF(Q268&lt;&gt;"",Q268,IF(M268&lt;&gt;"",M268,""))</f>
        <v/>
      </c>
    </row>
    <row r="269" customFormat="false" ht="15" hidden="false" customHeight="false" outlineLevel="0" collapsed="false">
      <c r="A269" s="9"/>
      <c r="B269" s="9"/>
      <c r="C269" s="26"/>
      <c r="D269" s="9"/>
      <c r="E269" s="9"/>
      <c r="F269" s="9"/>
      <c r="G269" s="27"/>
      <c r="H269" s="28"/>
      <c r="I269" s="28"/>
      <c r="J269" s="29" t="str">
        <f aca="false">IF(OR(H269="",I269="",I269=0),"",H269/I269)</f>
        <v/>
      </c>
      <c r="K269" s="30"/>
      <c r="L269" s="28"/>
      <c r="M269" s="28"/>
      <c r="N269" s="29" t="str">
        <f aca="false">IF(OR(L269="",M269="",M269=0),"",L269/M269)</f>
        <v/>
      </c>
      <c r="O269" s="30"/>
      <c r="P269" s="28"/>
      <c r="Q269" s="28"/>
      <c r="R269" s="29" t="str">
        <f aca="false">IF(OR(P269="",Q269="",Q269=0),"",P269/Q269)</f>
        <v/>
      </c>
      <c r="S269" s="30"/>
      <c r="T269" s="31" t="str">
        <f aca="false">IF(OR(AA269="",H269="",H269=0),"",AA269/H269-1)</f>
        <v/>
      </c>
      <c r="U269" s="31" t="str">
        <f aca="false">IF(OR(AB269="",I269="",I269=0),"",AB269/I269-1)</f>
        <v/>
      </c>
      <c r="V269" s="32" t="str">
        <f aca="false">IF(OR(J269="",IF(R269&lt;&gt;"",R269,N269)=""),"",(IF(R269&lt;&gt;"",R269,N269)-J269)*100)</f>
        <v/>
      </c>
      <c r="W269" s="33" t="str">
        <f aca="false">IF(OR(K269="",IF(S269&lt;&gt;"",S269,O269)=""),"",K269-IF(S269&lt;&gt;"",S269,O269))</f>
        <v/>
      </c>
      <c r="X269" s="34" t="str">
        <f aca="false">IF(F269="","",IF(E269="Redirected (301)",IF(AA269="","Pending","Redirected – see target"),IF(OR(AA269="",H269=""),"Pending",IF(H269=0,IF(AA269&gt;0,"Win","Neutral"),IF(AA269&gt;=H269*(1+'How to use'!$C$15),"Win",IF(AA269&lt;=H269*(1+'How to use'!$C$16),"Loss","Neutral"))))))</f>
        <v/>
      </c>
      <c r="Y269" s="35" t="str">
        <f aca="false">IF(OR(F269="",C269=""),"",IF(P269&lt;&gt;"","Done",IF(L269&lt;&gt;"",C269+'How to use'!$C$19+'How to use'!$C$17,C269+'How to use'!$C$18+'How to use'!$C$17)))</f>
        <v/>
      </c>
      <c r="Z269" s="9"/>
      <c r="AA269" s="36" t="str">
        <f aca="false">IF(P269&lt;&gt;"",P269,IF(L269&lt;&gt;"",L269,""))</f>
        <v/>
      </c>
      <c r="AB269" s="36" t="str">
        <f aca="false">IF(Q269&lt;&gt;"",Q269,IF(M269&lt;&gt;"",M269,""))</f>
        <v/>
      </c>
    </row>
    <row r="270" customFormat="false" ht="15" hidden="false" customHeight="false" outlineLevel="0" collapsed="false">
      <c r="A270" s="9"/>
      <c r="B270" s="9"/>
      <c r="C270" s="26"/>
      <c r="D270" s="9"/>
      <c r="E270" s="9"/>
      <c r="F270" s="9"/>
      <c r="G270" s="27"/>
      <c r="H270" s="28"/>
      <c r="I270" s="28"/>
      <c r="J270" s="29" t="str">
        <f aca="false">IF(OR(H270="",I270="",I270=0),"",H270/I270)</f>
        <v/>
      </c>
      <c r="K270" s="30"/>
      <c r="L270" s="28"/>
      <c r="M270" s="28"/>
      <c r="N270" s="29" t="str">
        <f aca="false">IF(OR(L270="",M270="",M270=0),"",L270/M270)</f>
        <v/>
      </c>
      <c r="O270" s="30"/>
      <c r="P270" s="28"/>
      <c r="Q270" s="28"/>
      <c r="R270" s="29" t="str">
        <f aca="false">IF(OR(P270="",Q270="",Q270=0),"",P270/Q270)</f>
        <v/>
      </c>
      <c r="S270" s="30"/>
      <c r="T270" s="31" t="str">
        <f aca="false">IF(OR(AA270="",H270="",H270=0),"",AA270/H270-1)</f>
        <v/>
      </c>
      <c r="U270" s="31" t="str">
        <f aca="false">IF(OR(AB270="",I270="",I270=0),"",AB270/I270-1)</f>
        <v/>
      </c>
      <c r="V270" s="32" t="str">
        <f aca="false">IF(OR(J270="",IF(R270&lt;&gt;"",R270,N270)=""),"",(IF(R270&lt;&gt;"",R270,N270)-J270)*100)</f>
        <v/>
      </c>
      <c r="W270" s="33" t="str">
        <f aca="false">IF(OR(K270="",IF(S270&lt;&gt;"",S270,O270)=""),"",K270-IF(S270&lt;&gt;"",S270,O270))</f>
        <v/>
      </c>
      <c r="X270" s="34" t="str">
        <f aca="false">IF(F270="","",IF(E270="Redirected (301)",IF(AA270="","Pending","Redirected – see target"),IF(OR(AA270="",H270=""),"Pending",IF(H270=0,IF(AA270&gt;0,"Win","Neutral"),IF(AA270&gt;=H270*(1+'How to use'!$C$15),"Win",IF(AA270&lt;=H270*(1+'How to use'!$C$16),"Loss","Neutral"))))))</f>
        <v/>
      </c>
      <c r="Y270" s="35" t="str">
        <f aca="false">IF(OR(F270="",C270=""),"",IF(P270&lt;&gt;"","Done",IF(L270&lt;&gt;"",C270+'How to use'!$C$19+'How to use'!$C$17,C270+'How to use'!$C$18+'How to use'!$C$17)))</f>
        <v/>
      </c>
      <c r="Z270" s="9"/>
      <c r="AA270" s="36" t="str">
        <f aca="false">IF(P270&lt;&gt;"",P270,IF(L270&lt;&gt;"",L270,""))</f>
        <v/>
      </c>
      <c r="AB270" s="36" t="str">
        <f aca="false">IF(Q270&lt;&gt;"",Q270,IF(M270&lt;&gt;"",M270,""))</f>
        <v/>
      </c>
    </row>
    <row r="271" customFormat="false" ht="15" hidden="false" customHeight="false" outlineLevel="0" collapsed="false">
      <c r="A271" s="9"/>
      <c r="B271" s="9"/>
      <c r="C271" s="26"/>
      <c r="D271" s="9"/>
      <c r="E271" s="9"/>
      <c r="F271" s="9"/>
      <c r="G271" s="27"/>
      <c r="H271" s="28"/>
      <c r="I271" s="28"/>
      <c r="J271" s="29" t="str">
        <f aca="false">IF(OR(H271="",I271="",I271=0),"",H271/I271)</f>
        <v/>
      </c>
      <c r="K271" s="30"/>
      <c r="L271" s="28"/>
      <c r="M271" s="28"/>
      <c r="N271" s="29" t="str">
        <f aca="false">IF(OR(L271="",M271="",M271=0),"",L271/M271)</f>
        <v/>
      </c>
      <c r="O271" s="30"/>
      <c r="P271" s="28"/>
      <c r="Q271" s="28"/>
      <c r="R271" s="29" t="str">
        <f aca="false">IF(OR(P271="",Q271="",Q271=0),"",P271/Q271)</f>
        <v/>
      </c>
      <c r="S271" s="30"/>
      <c r="T271" s="31" t="str">
        <f aca="false">IF(OR(AA271="",H271="",H271=0),"",AA271/H271-1)</f>
        <v/>
      </c>
      <c r="U271" s="31" t="str">
        <f aca="false">IF(OR(AB271="",I271="",I271=0),"",AB271/I271-1)</f>
        <v/>
      </c>
      <c r="V271" s="32" t="str">
        <f aca="false">IF(OR(J271="",IF(R271&lt;&gt;"",R271,N271)=""),"",(IF(R271&lt;&gt;"",R271,N271)-J271)*100)</f>
        <v/>
      </c>
      <c r="W271" s="33" t="str">
        <f aca="false">IF(OR(K271="",IF(S271&lt;&gt;"",S271,O271)=""),"",K271-IF(S271&lt;&gt;"",S271,O271))</f>
        <v/>
      </c>
      <c r="X271" s="34" t="str">
        <f aca="false">IF(F271="","",IF(E271="Redirected (301)",IF(AA271="","Pending","Redirected – see target"),IF(OR(AA271="",H271=""),"Pending",IF(H271=0,IF(AA271&gt;0,"Win","Neutral"),IF(AA271&gt;=H271*(1+'How to use'!$C$15),"Win",IF(AA271&lt;=H271*(1+'How to use'!$C$16),"Loss","Neutral"))))))</f>
        <v/>
      </c>
      <c r="Y271" s="35" t="str">
        <f aca="false">IF(OR(F271="",C271=""),"",IF(P271&lt;&gt;"","Done",IF(L271&lt;&gt;"",C271+'How to use'!$C$19+'How to use'!$C$17,C271+'How to use'!$C$18+'How to use'!$C$17)))</f>
        <v/>
      </c>
      <c r="Z271" s="9"/>
      <c r="AA271" s="36" t="str">
        <f aca="false">IF(P271&lt;&gt;"",P271,IF(L271&lt;&gt;"",L271,""))</f>
        <v/>
      </c>
      <c r="AB271" s="36" t="str">
        <f aca="false">IF(Q271&lt;&gt;"",Q271,IF(M271&lt;&gt;"",M271,""))</f>
        <v/>
      </c>
    </row>
    <row r="272" customFormat="false" ht="15" hidden="false" customHeight="false" outlineLevel="0" collapsed="false">
      <c r="A272" s="9"/>
      <c r="B272" s="9"/>
      <c r="C272" s="26"/>
      <c r="D272" s="9"/>
      <c r="E272" s="9"/>
      <c r="F272" s="9"/>
      <c r="G272" s="27"/>
      <c r="H272" s="28"/>
      <c r="I272" s="28"/>
      <c r="J272" s="29" t="str">
        <f aca="false">IF(OR(H272="",I272="",I272=0),"",H272/I272)</f>
        <v/>
      </c>
      <c r="K272" s="30"/>
      <c r="L272" s="28"/>
      <c r="M272" s="28"/>
      <c r="N272" s="29" t="str">
        <f aca="false">IF(OR(L272="",M272="",M272=0),"",L272/M272)</f>
        <v/>
      </c>
      <c r="O272" s="30"/>
      <c r="P272" s="28"/>
      <c r="Q272" s="28"/>
      <c r="R272" s="29" t="str">
        <f aca="false">IF(OR(P272="",Q272="",Q272=0),"",P272/Q272)</f>
        <v/>
      </c>
      <c r="S272" s="30"/>
      <c r="T272" s="31" t="str">
        <f aca="false">IF(OR(AA272="",H272="",H272=0),"",AA272/H272-1)</f>
        <v/>
      </c>
      <c r="U272" s="31" t="str">
        <f aca="false">IF(OR(AB272="",I272="",I272=0),"",AB272/I272-1)</f>
        <v/>
      </c>
      <c r="V272" s="32" t="str">
        <f aca="false">IF(OR(J272="",IF(R272&lt;&gt;"",R272,N272)=""),"",(IF(R272&lt;&gt;"",R272,N272)-J272)*100)</f>
        <v/>
      </c>
      <c r="W272" s="33" t="str">
        <f aca="false">IF(OR(K272="",IF(S272&lt;&gt;"",S272,O272)=""),"",K272-IF(S272&lt;&gt;"",S272,O272))</f>
        <v/>
      </c>
      <c r="X272" s="34" t="str">
        <f aca="false">IF(F272="","",IF(E272="Redirected (301)",IF(AA272="","Pending","Redirected – see target"),IF(OR(AA272="",H272=""),"Pending",IF(H272=0,IF(AA272&gt;0,"Win","Neutral"),IF(AA272&gt;=H272*(1+'How to use'!$C$15),"Win",IF(AA272&lt;=H272*(1+'How to use'!$C$16),"Loss","Neutral"))))))</f>
        <v/>
      </c>
      <c r="Y272" s="35" t="str">
        <f aca="false">IF(OR(F272="",C272=""),"",IF(P272&lt;&gt;"","Done",IF(L272&lt;&gt;"",C272+'How to use'!$C$19+'How to use'!$C$17,C272+'How to use'!$C$18+'How to use'!$C$17)))</f>
        <v/>
      </c>
      <c r="Z272" s="9"/>
      <c r="AA272" s="36" t="str">
        <f aca="false">IF(P272&lt;&gt;"",P272,IF(L272&lt;&gt;"",L272,""))</f>
        <v/>
      </c>
      <c r="AB272" s="36" t="str">
        <f aca="false">IF(Q272&lt;&gt;"",Q272,IF(M272&lt;&gt;"",M272,""))</f>
        <v/>
      </c>
    </row>
    <row r="273" customFormat="false" ht="15" hidden="false" customHeight="false" outlineLevel="0" collapsed="false">
      <c r="A273" s="9"/>
      <c r="B273" s="9"/>
      <c r="C273" s="26"/>
      <c r="D273" s="9"/>
      <c r="E273" s="9"/>
      <c r="F273" s="9"/>
      <c r="G273" s="27"/>
      <c r="H273" s="28"/>
      <c r="I273" s="28"/>
      <c r="J273" s="29" t="str">
        <f aca="false">IF(OR(H273="",I273="",I273=0),"",H273/I273)</f>
        <v/>
      </c>
      <c r="K273" s="30"/>
      <c r="L273" s="28"/>
      <c r="M273" s="28"/>
      <c r="N273" s="29" t="str">
        <f aca="false">IF(OR(L273="",M273="",M273=0),"",L273/M273)</f>
        <v/>
      </c>
      <c r="O273" s="30"/>
      <c r="P273" s="28"/>
      <c r="Q273" s="28"/>
      <c r="R273" s="29" t="str">
        <f aca="false">IF(OR(P273="",Q273="",Q273=0),"",P273/Q273)</f>
        <v/>
      </c>
      <c r="S273" s="30"/>
      <c r="T273" s="31" t="str">
        <f aca="false">IF(OR(AA273="",H273="",H273=0),"",AA273/H273-1)</f>
        <v/>
      </c>
      <c r="U273" s="31" t="str">
        <f aca="false">IF(OR(AB273="",I273="",I273=0),"",AB273/I273-1)</f>
        <v/>
      </c>
      <c r="V273" s="32" t="str">
        <f aca="false">IF(OR(J273="",IF(R273&lt;&gt;"",R273,N273)=""),"",(IF(R273&lt;&gt;"",R273,N273)-J273)*100)</f>
        <v/>
      </c>
      <c r="W273" s="33" t="str">
        <f aca="false">IF(OR(K273="",IF(S273&lt;&gt;"",S273,O273)=""),"",K273-IF(S273&lt;&gt;"",S273,O273))</f>
        <v/>
      </c>
      <c r="X273" s="34" t="str">
        <f aca="false">IF(F273="","",IF(E273="Redirected (301)",IF(AA273="","Pending","Redirected – see target"),IF(OR(AA273="",H273=""),"Pending",IF(H273=0,IF(AA273&gt;0,"Win","Neutral"),IF(AA273&gt;=H273*(1+'How to use'!$C$15),"Win",IF(AA273&lt;=H273*(1+'How to use'!$C$16),"Loss","Neutral"))))))</f>
        <v/>
      </c>
      <c r="Y273" s="35" t="str">
        <f aca="false">IF(OR(F273="",C273=""),"",IF(P273&lt;&gt;"","Done",IF(L273&lt;&gt;"",C273+'How to use'!$C$19+'How to use'!$C$17,C273+'How to use'!$C$18+'How to use'!$C$17)))</f>
        <v/>
      </c>
      <c r="Z273" s="9"/>
      <c r="AA273" s="36" t="str">
        <f aca="false">IF(P273&lt;&gt;"",P273,IF(L273&lt;&gt;"",L273,""))</f>
        <v/>
      </c>
      <c r="AB273" s="36" t="str">
        <f aca="false">IF(Q273&lt;&gt;"",Q273,IF(M273&lt;&gt;"",M273,""))</f>
        <v/>
      </c>
    </row>
    <row r="274" customFormat="false" ht="15" hidden="false" customHeight="false" outlineLevel="0" collapsed="false">
      <c r="A274" s="9"/>
      <c r="B274" s="9"/>
      <c r="C274" s="26"/>
      <c r="D274" s="9"/>
      <c r="E274" s="9"/>
      <c r="F274" s="9"/>
      <c r="G274" s="27"/>
      <c r="H274" s="28"/>
      <c r="I274" s="28"/>
      <c r="J274" s="29" t="str">
        <f aca="false">IF(OR(H274="",I274="",I274=0),"",H274/I274)</f>
        <v/>
      </c>
      <c r="K274" s="30"/>
      <c r="L274" s="28"/>
      <c r="M274" s="28"/>
      <c r="N274" s="29" t="str">
        <f aca="false">IF(OR(L274="",M274="",M274=0),"",L274/M274)</f>
        <v/>
      </c>
      <c r="O274" s="30"/>
      <c r="P274" s="28"/>
      <c r="Q274" s="28"/>
      <c r="R274" s="29" t="str">
        <f aca="false">IF(OR(P274="",Q274="",Q274=0),"",P274/Q274)</f>
        <v/>
      </c>
      <c r="S274" s="30"/>
      <c r="T274" s="31" t="str">
        <f aca="false">IF(OR(AA274="",H274="",H274=0),"",AA274/H274-1)</f>
        <v/>
      </c>
      <c r="U274" s="31" t="str">
        <f aca="false">IF(OR(AB274="",I274="",I274=0),"",AB274/I274-1)</f>
        <v/>
      </c>
      <c r="V274" s="32" t="str">
        <f aca="false">IF(OR(J274="",IF(R274&lt;&gt;"",R274,N274)=""),"",(IF(R274&lt;&gt;"",R274,N274)-J274)*100)</f>
        <v/>
      </c>
      <c r="W274" s="33" t="str">
        <f aca="false">IF(OR(K274="",IF(S274&lt;&gt;"",S274,O274)=""),"",K274-IF(S274&lt;&gt;"",S274,O274))</f>
        <v/>
      </c>
      <c r="X274" s="34" t="str">
        <f aca="false">IF(F274="","",IF(E274="Redirected (301)",IF(AA274="","Pending","Redirected – see target"),IF(OR(AA274="",H274=""),"Pending",IF(H274=0,IF(AA274&gt;0,"Win","Neutral"),IF(AA274&gt;=H274*(1+'How to use'!$C$15),"Win",IF(AA274&lt;=H274*(1+'How to use'!$C$16),"Loss","Neutral"))))))</f>
        <v/>
      </c>
      <c r="Y274" s="35" t="str">
        <f aca="false">IF(OR(F274="",C274=""),"",IF(P274&lt;&gt;"","Done",IF(L274&lt;&gt;"",C274+'How to use'!$C$19+'How to use'!$C$17,C274+'How to use'!$C$18+'How to use'!$C$17)))</f>
        <v/>
      </c>
      <c r="Z274" s="9"/>
      <c r="AA274" s="36" t="str">
        <f aca="false">IF(P274&lt;&gt;"",P274,IF(L274&lt;&gt;"",L274,""))</f>
        <v/>
      </c>
      <c r="AB274" s="36" t="str">
        <f aca="false">IF(Q274&lt;&gt;"",Q274,IF(M274&lt;&gt;"",M274,""))</f>
        <v/>
      </c>
    </row>
    <row r="275" customFormat="false" ht="15" hidden="false" customHeight="false" outlineLevel="0" collapsed="false">
      <c r="A275" s="9"/>
      <c r="B275" s="9"/>
      <c r="C275" s="26"/>
      <c r="D275" s="9"/>
      <c r="E275" s="9"/>
      <c r="F275" s="9"/>
      <c r="G275" s="27"/>
      <c r="H275" s="28"/>
      <c r="I275" s="28"/>
      <c r="J275" s="29" t="str">
        <f aca="false">IF(OR(H275="",I275="",I275=0),"",H275/I275)</f>
        <v/>
      </c>
      <c r="K275" s="30"/>
      <c r="L275" s="28"/>
      <c r="M275" s="28"/>
      <c r="N275" s="29" t="str">
        <f aca="false">IF(OR(L275="",M275="",M275=0),"",L275/M275)</f>
        <v/>
      </c>
      <c r="O275" s="30"/>
      <c r="P275" s="28"/>
      <c r="Q275" s="28"/>
      <c r="R275" s="29" t="str">
        <f aca="false">IF(OR(P275="",Q275="",Q275=0),"",P275/Q275)</f>
        <v/>
      </c>
      <c r="S275" s="30"/>
      <c r="T275" s="31" t="str">
        <f aca="false">IF(OR(AA275="",H275="",H275=0),"",AA275/H275-1)</f>
        <v/>
      </c>
      <c r="U275" s="31" t="str">
        <f aca="false">IF(OR(AB275="",I275="",I275=0),"",AB275/I275-1)</f>
        <v/>
      </c>
      <c r="V275" s="32" t="str">
        <f aca="false">IF(OR(J275="",IF(R275&lt;&gt;"",R275,N275)=""),"",(IF(R275&lt;&gt;"",R275,N275)-J275)*100)</f>
        <v/>
      </c>
      <c r="W275" s="33" t="str">
        <f aca="false">IF(OR(K275="",IF(S275&lt;&gt;"",S275,O275)=""),"",K275-IF(S275&lt;&gt;"",S275,O275))</f>
        <v/>
      </c>
      <c r="X275" s="34" t="str">
        <f aca="false">IF(F275="","",IF(E275="Redirected (301)",IF(AA275="","Pending","Redirected – see target"),IF(OR(AA275="",H275=""),"Pending",IF(H275=0,IF(AA275&gt;0,"Win","Neutral"),IF(AA275&gt;=H275*(1+'How to use'!$C$15),"Win",IF(AA275&lt;=H275*(1+'How to use'!$C$16),"Loss","Neutral"))))))</f>
        <v/>
      </c>
      <c r="Y275" s="35" t="str">
        <f aca="false">IF(OR(F275="",C275=""),"",IF(P275&lt;&gt;"","Done",IF(L275&lt;&gt;"",C275+'How to use'!$C$19+'How to use'!$C$17,C275+'How to use'!$C$18+'How to use'!$C$17)))</f>
        <v/>
      </c>
      <c r="Z275" s="9"/>
      <c r="AA275" s="36" t="str">
        <f aca="false">IF(P275&lt;&gt;"",P275,IF(L275&lt;&gt;"",L275,""))</f>
        <v/>
      </c>
      <c r="AB275" s="36" t="str">
        <f aca="false">IF(Q275&lt;&gt;"",Q275,IF(M275&lt;&gt;"",M275,""))</f>
        <v/>
      </c>
    </row>
    <row r="276" customFormat="false" ht="15" hidden="false" customHeight="false" outlineLevel="0" collapsed="false">
      <c r="A276" s="9"/>
      <c r="B276" s="9"/>
      <c r="C276" s="26"/>
      <c r="D276" s="9"/>
      <c r="E276" s="9"/>
      <c r="F276" s="9"/>
      <c r="G276" s="27"/>
      <c r="H276" s="28"/>
      <c r="I276" s="28"/>
      <c r="J276" s="29" t="str">
        <f aca="false">IF(OR(H276="",I276="",I276=0),"",H276/I276)</f>
        <v/>
      </c>
      <c r="K276" s="30"/>
      <c r="L276" s="28"/>
      <c r="M276" s="28"/>
      <c r="N276" s="29" t="str">
        <f aca="false">IF(OR(L276="",M276="",M276=0),"",L276/M276)</f>
        <v/>
      </c>
      <c r="O276" s="30"/>
      <c r="P276" s="28"/>
      <c r="Q276" s="28"/>
      <c r="R276" s="29" t="str">
        <f aca="false">IF(OR(P276="",Q276="",Q276=0),"",P276/Q276)</f>
        <v/>
      </c>
      <c r="S276" s="30"/>
      <c r="T276" s="31" t="str">
        <f aca="false">IF(OR(AA276="",H276="",H276=0),"",AA276/H276-1)</f>
        <v/>
      </c>
      <c r="U276" s="31" t="str">
        <f aca="false">IF(OR(AB276="",I276="",I276=0),"",AB276/I276-1)</f>
        <v/>
      </c>
      <c r="V276" s="32" t="str">
        <f aca="false">IF(OR(J276="",IF(R276&lt;&gt;"",R276,N276)=""),"",(IF(R276&lt;&gt;"",R276,N276)-J276)*100)</f>
        <v/>
      </c>
      <c r="W276" s="33" t="str">
        <f aca="false">IF(OR(K276="",IF(S276&lt;&gt;"",S276,O276)=""),"",K276-IF(S276&lt;&gt;"",S276,O276))</f>
        <v/>
      </c>
      <c r="X276" s="34" t="str">
        <f aca="false">IF(F276="","",IF(E276="Redirected (301)",IF(AA276="","Pending","Redirected – see target"),IF(OR(AA276="",H276=""),"Pending",IF(H276=0,IF(AA276&gt;0,"Win","Neutral"),IF(AA276&gt;=H276*(1+'How to use'!$C$15),"Win",IF(AA276&lt;=H276*(1+'How to use'!$C$16),"Loss","Neutral"))))))</f>
        <v/>
      </c>
      <c r="Y276" s="35" t="str">
        <f aca="false">IF(OR(F276="",C276=""),"",IF(P276&lt;&gt;"","Done",IF(L276&lt;&gt;"",C276+'How to use'!$C$19+'How to use'!$C$17,C276+'How to use'!$C$18+'How to use'!$C$17)))</f>
        <v/>
      </c>
      <c r="Z276" s="9"/>
      <c r="AA276" s="36" t="str">
        <f aca="false">IF(P276&lt;&gt;"",P276,IF(L276&lt;&gt;"",L276,""))</f>
        <v/>
      </c>
      <c r="AB276" s="36" t="str">
        <f aca="false">IF(Q276&lt;&gt;"",Q276,IF(M276&lt;&gt;"",M276,""))</f>
        <v/>
      </c>
    </row>
    <row r="277" customFormat="false" ht="15" hidden="false" customHeight="false" outlineLevel="0" collapsed="false">
      <c r="A277" s="9"/>
      <c r="B277" s="9"/>
      <c r="C277" s="26"/>
      <c r="D277" s="9"/>
      <c r="E277" s="9"/>
      <c r="F277" s="9"/>
      <c r="G277" s="27"/>
      <c r="H277" s="28"/>
      <c r="I277" s="28"/>
      <c r="J277" s="29" t="str">
        <f aca="false">IF(OR(H277="",I277="",I277=0),"",H277/I277)</f>
        <v/>
      </c>
      <c r="K277" s="30"/>
      <c r="L277" s="28"/>
      <c r="M277" s="28"/>
      <c r="N277" s="29" t="str">
        <f aca="false">IF(OR(L277="",M277="",M277=0),"",L277/M277)</f>
        <v/>
      </c>
      <c r="O277" s="30"/>
      <c r="P277" s="28"/>
      <c r="Q277" s="28"/>
      <c r="R277" s="29" t="str">
        <f aca="false">IF(OR(P277="",Q277="",Q277=0),"",P277/Q277)</f>
        <v/>
      </c>
      <c r="S277" s="30"/>
      <c r="T277" s="31" t="str">
        <f aca="false">IF(OR(AA277="",H277="",H277=0),"",AA277/H277-1)</f>
        <v/>
      </c>
      <c r="U277" s="31" t="str">
        <f aca="false">IF(OR(AB277="",I277="",I277=0),"",AB277/I277-1)</f>
        <v/>
      </c>
      <c r="V277" s="32" t="str">
        <f aca="false">IF(OR(J277="",IF(R277&lt;&gt;"",R277,N277)=""),"",(IF(R277&lt;&gt;"",R277,N277)-J277)*100)</f>
        <v/>
      </c>
      <c r="W277" s="33" t="str">
        <f aca="false">IF(OR(K277="",IF(S277&lt;&gt;"",S277,O277)=""),"",K277-IF(S277&lt;&gt;"",S277,O277))</f>
        <v/>
      </c>
      <c r="X277" s="34" t="str">
        <f aca="false">IF(F277="","",IF(E277="Redirected (301)",IF(AA277="","Pending","Redirected – see target"),IF(OR(AA277="",H277=""),"Pending",IF(H277=0,IF(AA277&gt;0,"Win","Neutral"),IF(AA277&gt;=H277*(1+'How to use'!$C$15),"Win",IF(AA277&lt;=H277*(1+'How to use'!$C$16),"Loss","Neutral"))))))</f>
        <v/>
      </c>
      <c r="Y277" s="35" t="str">
        <f aca="false">IF(OR(F277="",C277=""),"",IF(P277&lt;&gt;"","Done",IF(L277&lt;&gt;"",C277+'How to use'!$C$19+'How to use'!$C$17,C277+'How to use'!$C$18+'How to use'!$C$17)))</f>
        <v/>
      </c>
      <c r="Z277" s="9"/>
      <c r="AA277" s="36" t="str">
        <f aca="false">IF(P277&lt;&gt;"",P277,IF(L277&lt;&gt;"",L277,""))</f>
        <v/>
      </c>
      <c r="AB277" s="36" t="str">
        <f aca="false">IF(Q277&lt;&gt;"",Q277,IF(M277&lt;&gt;"",M277,""))</f>
        <v/>
      </c>
    </row>
    <row r="278" customFormat="false" ht="15" hidden="false" customHeight="false" outlineLevel="0" collapsed="false">
      <c r="A278" s="9"/>
      <c r="B278" s="9"/>
      <c r="C278" s="26"/>
      <c r="D278" s="9"/>
      <c r="E278" s="9"/>
      <c r="F278" s="9"/>
      <c r="G278" s="27"/>
      <c r="H278" s="28"/>
      <c r="I278" s="28"/>
      <c r="J278" s="29" t="str">
        <f aca="false">IF(OR(H278="",I278="",I278=0),"",H278/I278)</f>
        <v/>
      </c>
      <c r="K278" s="30"/>
      <c r="L278" s="28"/>
      <c r="M278" s="28"/>
      <c r="N278" s="29" t="str">
        <f aca="false">IF(OR(L278="",M278="",M278=0),"",L278/M278)</f>
        <v/>
      </c>
      <c r="O278" s="30"/>
      <c r="P278" s="28"/>
      <c r="Q278" s="28"/>
      <c r="R278" s="29" t="str">
        <f aca="false">IF(OR(P278="",Q278="",Q278=0),"",P278/Q278)</f>
        <v/>
      </c>
      <c r="S278" s="30"/>
      <c r="T278" s="31" t="str">
        <f aca="false">IF(OR(AA278="",H278="",H278=0),"",AA278/H278-1)</f>
        <v/>
      </c>
      <c r="U278" s="31" t="str">
        <f aca="false">IF(OR(AB278="",I278="",I278=0),"",AB278/I278-1)</f>
        <v/>
      </c>
      <c r="V278" s="32" t="str">
        <f aca="false">IF(OR(J278="",IF(R278&lt;&gt;"",R278,N278)=""),"",(IF(R278&lt;&gt;"",R278,N278)-J278)*100)</f>
        <v/>
      </c>
      <c r="W278" s="33" t="str">
        <f aca="false">IF(OR(K278="",IF(S278&lt;&gt;"",S278,O278)=""),"",K278-IF(S278&lt;&gt;"",S278,O278))</f>
        <v/>
      </c>
      <c r="X278" s="34" t="str">
        <f aca="false">IF(F278="","",IF(E278="Redirected (301)",IF(AA278="","Pending","Redirected – see target"),IF(OR(AA278="",H278=""),"Pending",IF(H278=0,IF(AA278&gt;0,"Win","Neutral"),IF(AA278&gt;=H278*(1+'How to use'!$C$15),"Win",IF(AA278&lt;=H278*(1+'How to use'!$C$16),"Loss","Neutral"))))))</f>
        <v/>
      </c>
      <c r="Y278" s="35" t="str">
        <f aca="false">IF(OR(F278="",C278=""),"",IF(P278&lt;&gt;"","Done",IF(L278&lt;&gt;"",C278+'How to use'!$C$19+'How to use'!$C$17,C278+'How to use'!$C$18+'How to use'!$C$17)))</f>
        <v/>
      </c>
      <c r="Z278" s="9"/>
      <c r="AA278" s="36" t="str">
        <f aca="false">IF(P278&lt;&gt;"",P278,IF(L278&lt;&gt;"",L278,""))</f>
        <v/>
      </c>
      <c r="AB278" s="36" t="str">
        <f aca="false">IF(Q278&lt;&gt;"",Q278,IF(M278&lt;&gt;"",M278,""))</f>
        <v/>
      </c>
    </row>
    <row r="279" customFormat="false" ht="15" hidden="false" customHeight="false" outlineLevel="0" collapsed="false">
      <c r="A279" s="9"/>
      <c r="B279" s="9"/>
      <c r="C279" s="26"/>
      <c r="D279" s="9"/>
      <c r="E279" s="9"/>
      <c r="F279" s="9"/>
      <c r="G279" s="27"/>
      <c r="H279" s="28"/>
      <c r="I279" s="28"/>
      <c r="J279" s="29" t="str">
        <f aca="false">IF(OR(H279="",I279="",I279=0),"",H279/I279)</f>
        <v/>
      </c>
      <c r="K279" s="30"/>
      <c r="L279" s="28"/>
      <c r="M279" s="28"/>
      <c r="N279" s="29" t="str">
        <f aca="false">IF(OR(L279="",M279="",M279=0),"",L279/M279)</f>
        <v/>
      </c>
      <c r="O279" s="30"/>
      <c r="P279" s="28"/>
      <c r="Q279" s="28"/>
      <c r="R279" s="29" t="str">
        <f aca="false">IF(OR(P279="",Q279="",Q279=0),"",P279/Q279)</f>
        <v/>
      </c>
      <c r="S279" s="30"/>
      <c r="T279" s="31" t="str">
        <f aca="false">IF(OR(AA279="",H279="",H279=0),"",AA279/H279-1)</f>
        <v/>
      </c>
      <c r="U279" s="31" t="str">
        <f aca="false">IF(OR(AB279="",I279="",I279=0),"",AB279/I279-1)</f>
        <v/>
      </c>
      <c r="V279" s="32" t="str">
        <f aca="false">IF(OR(J279="",IF(R279&lt;&gt;"",R279,N279)=""),"",(IF(R279&lt;&gt;"",R279,N279)-J279)*100)</f>
        <v/>
      </c>
      <c r="W279" s="33" t="str">
        <f aca="false">IF(OR(K279="",IF(S279&lt;&gt;"",S279,O279)=""),"",K279-IF(S279&lt;&gt;"",S279,O279))</f>
        <v/>
      </c>
      <c r="X279" s="34" t="str">
        <f aca="false">IF(F279="","",IF(E279="Redirected (301)",IF(AA279="","Pending","Redirected – see target"),IF(OR(AA279="",H279=""),"Pending",IF(H279=0,IF(AA279&gt;0,"Win","Neutral"),IF(AA279&gt;=H279*(1+'How to use'!$C$15),"Win",IF(AA279&lt;=H279*(1+'How to use'!$C$16),"Loss","Neutral"))))))</f>
        <v/>
      </c>
      <c r="Y279" s="35" t="str">
        <f aca="false">IF(OR(F279="",C279=""),"",IF(P279&lt;&gt;"","Done",IF(L279&lt;&gt;"",C279+'How to use'!$C$19+'How to use'!$C$17,C279+'How to use'!$C$18+'How to use'!$C$17)))</f>
        <v/>
      </c>
      <c r="Z279" s="9"/>
      <c r="AA279" s="36" t="str">
        <f aca="false">IF(P279&lt;&gt;"",P279,IF(L279&lt;&gt;"",L279,""))</f>
        <v/>
      </c>
      <c r="AB279" s="36" t="str">
        <f aca="false">IF(Q279&lt;&gt;"",Q279,IF(M279&lt;&gt;"",M279,""))</f>
        <v/>
      </c>
    </row>
    <row r="280" customFormat="false" ht="15" hidden="false" customHeight="false" outlineLevel="0" collapsed="false">
      <c r="A280" s="9"/>
      <c r="B280" s="9"/>
      <c r="C280" s="26"/>
      <c r="D280" s="9"/>
      <c r="E280" s="9"/>
      <c r="F280" s="9"/>
      <c r="G280" s="27"/>
      <c r="H280" s="28"/>
      <c r="I280" s="28"/>
      <c r="J280" s="29" t="str">
        <f aca="false">IF(OR(H280="",I280="",I280=0),"",H280/I280)</f>
        <v/>
      </c>
      <c r="K280" s="30"/>
      <c r="L280" s="28"/>
      <c r="M280" s="28"/>
      <c r="N280" s="29" t="str">
        <f aca="false">IF(OR(L280="",M280="",M280=0),"",L280/M280)</f>
        <v/>
      </c>
      <c r="O280" s="30"/>
      <c r="P280" s="28"/>
      <c r="Q280" s="28"/>
      <c r="R280" s="29" t="str">
        <f aca="false">IF(OR(P280="",Q280="",Q280=0),"",P280/Q280)</f>
        <v/>
      </c>
      <c r="S280" s="30"/>
      <c r="T280" s="31" t="str">
        <f aca="false">IF(OR(AA280="",H280="",H280=0),"",AA280/H280-1)</f>
        <v/>
      </c>
      <c r="U280" s="31" t="str">
        <f aca="false">IF(OR(AB280="",I280="",I280=0),"",AB280/I280-1)</f>
        <v/>
      </c>
      <c r="V280" s="32" t="str">
        <f aca="false">IF(OR(J280="",IF(R280&lt;&gt;"",R280,N280)=""),"",(IF(R280&lt;&gt;"",R280,N280)-J280)*100)</f>
        <v/>
      </c>
      <c r="W280" s="33" t="str">
        <f aca="false">IF(OR(K280="",IF(S280&lt;&gt;"",S280,O280)=""),"",K280-IF(S280&lt;&gt;"",S280,O280))</f>
        <v/>
      </c>
      <c r="X280" s="34" t="str">
        <f aca="false">IF(F280="","",IF(E280="Redirected (301)",IF(AA280="","Pending","Redirected – see target"),IF(OR(AA280="",H280=""),"Pending",IF(H280=0,IF(AA280&gt;0,"Win","Neutral"),IF(AA280&gt;=H280*(1+'How to use'!$C$15),"Win",IF(AA280&lt;=H280*(1+'How to use'!$C$16),"Loss","Neutral"))))))</f>
        <v/>
      </c>
      <c r="Y280" s="35" t="str">
        <f aca="false">IF(OR(F280="",C280=""),"",IF(P280&lt;&gt;"","Done",IF(L280&lt;&gt;"",C280+'How to use'!$C$19+'How to use'!$C$17,C280+'How to use'!$C$18+'How to use'!$C$17)))</f>
        <v/>
      </c>
      <c r="Z280" s="9"/>
      <c r="AA280" s="36" t="str">
        <f aca="false">IF(P280&lt;&gt;"",P280,IF(L280&lt;&gt;"",L280,""))</f>
        <v/>
      </c>
      <c r="AB280" s="36" t="str">
        <f aca="false">IF(Q280&lt;&gt;"",Q280,IF(M280&lt;&gt;"",M280,""))</f>
        <v/>
      </c>
    </row>
    <row r="281" customFormat="false" ht="15" hidden="false" customHeight="false" outlineLevel="0" collapsed="false">
      <c r="A281" s="9"/>
      <c r="B281" s="9"/>
      <c r="C281" s="26"/>
      <c r="D281" s="9"/>
      <c r="E281" s="9"/>
      <c r="F281" s="9"/>
      <c r="G281" s="27"/>
      <c r="H281" s="28"/>
      <c r="I281" s="28"/>
      <c r="J281" s="29" t="str">
        <f aca="false">IF(OR(H281="",I281="",I281=0),"",H281/I281)</f>
        <v/>
      </c>
      <c r="K281" s="30"/>
      <c r="L281" s="28"/>
      <c r="M281" s="28"/>
      <c r="N281" s="29" t="str">
        <f aca="false">IF(OR(L281="",M281="",M281=0),"",L281/M281)</f>
        <v/>
      </c>
      <c r="O281" s="30"/>
      <c r="P281" s="28"/>
      <c r="Q281" s="28"/>
      <c r="R281" s="29" t="str">
        <f aca="false">IF(OR(P281="",Q281="",Q281=0),"",P281/Q281)</f>
        <v/>
      </c>
      <c r="S281" s="30"/>
      <c r="T281" s="31" t="str">
        <f aca="false">IF(OR(AA281="",H281="",H281=0),"",AA281/H281-1)</f>
        <v/>
      </c>
      <c r="U281" s="31" t="str">
        <f aca="false">IF(OR(AB281="",I281="",I281=0),"",AB281/I281-1)</f>
        <v/>
      </c>
      <c r="V281" s="32" t="str">
        <f aca="false">IF(OR(J281="",IF(R281&lt;&gt;"",R281,N281)=""),"",(IF(R281&lt;&gt;"",R281,N281)-J281)*100)</f>
        <v/>
      </c>
      <c r="W281" s="33" t="str">
        <f aca="false">IF(OR(K281="",IF(S281&lt;&gt;"",S281,O281)=""),"",K281-IF(S281&lt;&gt;"",S281,O281))</f>
        <v/>
      </c>
      <c r="X281" s="34" t="str">
        <f aca="false">IF(F281="","",IF(E281="Redirected (301)",IF(AA281="","Pending","Redirected – see target"),IF(OR(AA281="",H281=""),"Pending",IF(H281=0,IF(AA281&gt;0,"Win","Neutral"),IF(AA281&gt;=H281*(1+'How to use'!$C$15),"Win",IF(AA281&lt;=H281*(1+'How to use'!$C$16),"Loss","Neutral"))))))</f>
        <v/>
      </c>
      <c r="Y281" s="35" t="str">
        <f aca="false">IF(OR(F281="",C281=""),"",IF(P281&lt;&gt;"","Done",IF(L281&lt;&gt;"",C281+'How to use'!$C$19+'How to use'!$C$17,C281+'How to use'!$C$18+'How to use'!$C$17)))</f>
        <v/>
      </c>
      <c r="Z281" s="9"/>
      <c r="AA281" s="36" t="str">
        <f aca="false">IF(P281&lt;&gt;"",P281,IF(L281&lt;&gt;"",L281,""))</f>
        <v/>
      </c>
      <c r="AB281" s="36" t="str">
        <f aca="false">IF(Q281&lt;&gt;"",Q281,IF(M281&lt;&gt;"",M281,""))</f>
        <v/>
      </c>
    </row>
    <row r="282" customFormat="false" ht="15" hidden="false" customHeight="false" outlineLevel="0" collapsed="false">
      <c r="A282" s="9"/>
      <c r="B282" s="9"/>
      <c r="C282" s="26"/>
      <c r="D282" s="9"/>
      <c r="E282" s="9"/>
      <c r="F282" s="9"/>
      <c r="G282" s="27"/>
      <c r="H282" s="28"/>
      <c r="I282" s="28"/>
      <c r="J282" s="29" t="str">
        <f aca="false">IF(OR(H282="",I282="",I282=0),"",H282/I282)</f>
        <v/>
      </c>
      <c r="K282" s="30"/>
      <c r="L282" s="28"/>
      <c r="M282" s="28"/>
      <c r="N282" s="29" t="str">
        <f aca="false">IF(OR(L282="",M282="",M282=0),"",L282/M282)</f>
        <v/>
      </c>
      <c r="O282" s="30"/>
      <c r="P282" s="28"/>
      <c r="Q282" s="28"/>
      <c r="R282" s="29" t="str">
        <f aca="false">IF(OR(P282="",Q282="",Q282=0),"",P282/Q282)</f>
        <v/>
      </c>
      <c r="S282" s="30"/>
      <c r="T282" s="31" t="str">
        <f aca="false">IF(OR(AA282="",H282="",H282=0),"",AA282/H282-1)</f>
        <v/>
      </c>
      <c r="U282" s="31" t="str">
        <f aca="false">IF(OR(AB282="",I282="",I282=0),"",AB282/I282-1)</f>
        <v/>
      </c>
      <c r="V282" s="32" t="str">
        <f aca="false">IF(OR(J282="",IF(R282&lt;&gt;"",R282,N282)=""),"",(IF(R282&lt;&gt;"",R282,N282)-J282)*100)</f>
        <v/>
      </c>
      <c r="W282" s="33" t="str">
        <f aca="false">IF(OR(K282="",IF(S282&lt;&gt;"",S282,O282)=""),"",K282-IF(S282&lt;&gt;"",S282,O282))</f>
        <v/>
      </c>
      <c r="X282" s="34" t="str">
        <f aca="false">IF(F282="","",IF(E282="Redirected (301)",IF(AA282="","Pending","Redirected – see target"),IF(OR(AA282="",H282=""),"Pending",IF(H282=0,IF(AA282&gt;0,"Win","Neutral"),IF(AA282&gt;=H282*(1+'How to use'!$C$15),"Win",IF(AA282&lt;=H282*(1+'How to use'!$C$16),"Loss","Neutral"))))))</f>
        <v/>
      </c>
      <c r="Y282" s="35" t="str">
        <f aca="false">IF(OR(F282="",C282=""),"",IF(P282&lt;&gt;"","Done",IF(L282&lt;&gt;"",C282+'How to use'!$C$19+'How to use'!$C$17,C282+'How to use'!$C$18+'How to use'!$C$17)))</f>
        <v/>
      </c>
      <c r="Z282" s="9"/>
      <c r="AA282" s="36" t="str">
        <f aca="false">IF(P282&lt;&gt;"",P282,IF(L282&lt;&gt;"",L282,""))</f>
        <v/>
      </c>
      <c r="AB282" s="36" t="str">
        <f aca="false">IF(Q282&lt;&gt;"",Q282,IF(M282&lt;&gt;"",M282,""))</f>
        <v/>
      </c>
    </row>
    <row r="283" customFormat="false" ht="15" hidden="false" customHeight="false" outlineLevel="0" collapsed="false">
      <c r="A283" s="9"/>
      <c r="B283" s="9"/>
      <c r="C283" s="26"/>
      <c r="D283" s="9"/>
      <c r="E283" s="9"/>
      <c r="F283" s="9"/>
      <c r="G283" s="27"/>
      <c r="H283" s="28"/>
      <c r="I283" s="28"/>
      <c r="J283" s="29" t="str">
        <f aca="false">IF(OR(H283="",I283="",I283=0),"",H283/I283)</f>
        <v/>
      </c>
      <c r="K283" s="30"/>
      <c r="L283" s="28"/>
      <c r="M283" s="28"/>
      <c r="N283" s="29" t="str">
        <f aca="false">IF(OR(L283="",M283="",M283=0),"",L283/M283)</f>
        <v/>
      </c>
      <c r="O283" s="30"/>
      <c r="P283" s="28"/>
      <c r="Q283" s="28"/>
      <c r="R283" s="29" t="str">
        <f aca="false">IF(OR(P283="",Q283="",Q283=0),"",P283/Q283)</f>
        <v/>
      </c>
      <c r="S283" s="30"/>
      <c r="T283" s="31" t="str">
        <f aca="false">IF(OR(AA283="",H283="",H283=0),"",AA283/H283-1)</f>
        <v/>
      </c>
      <c r="U283" s="31" t="str">
        <f aca="false">IF(OR(AB283="",I283="",I283=0),"",AB283/I283-1)</f>
        <v/>
      </c>
      <c r="V283" s="32" t="str">
        <f aca="false">IF(OR(J283="",IF(R283&lt;&gt;"",R283,N283)=""),"",(IF(R283&lt;&gt;"",R283,N283)-J283)*100)</f>
        <v/>
      </c>
      <c r="W283" s="33" t="str">
        <f aca="false">IF(OR(K283="",IF(S283&lt;&gt;"",S283,O283)=""),"",K283-IF(S283&lt;&gt;"",S283,O283))</f>
        <v/>
      </c>
      <c r="X283" s="34" t="str">
        <f aca="false">IF(F283="","",IF(E283="Redirected (301)",IF(AA283="","Pending","Redirected – see target"),IF(OR(AA283="",H283=""),"Pending",IF(H283=0,IF(AA283&gt;0,"Win","Neutral"),IF(AA283&gt;=H283*(1+'How to use'!$C$15),"Win",IF(AA283&lt;=H283*(1+'How to use'!$C$16),"Loss","Neutral"))))))</f>
        <v/>
      </c>
      <c r="Y283" s="35" t="str">
        <f aca="false">IF(OR(F283="",C283=""),"",IF(P283&lt;&gt;"","Done",IF(L283&lt;&gt;"",C283+'How to use'!$C$19+'How to use'!$C$17,C283+'How to use'!$C$18+'How to use'!$C$17)))</f>
        <v/>
      </c>
      <c r="Z283" s="9"/>
      <c r="AA283" s="36" t="str">
        <f aca="false">IF(P283&lt;&gt;"",P283,IF(L283&lt;&gt;"",L283,""))</f>
        <v/>
      </c>
      <c r="AB283" s="36" t="str">
        <f aca="false">IF(Q283&lt;&gt;"",Q283,IF(M283&lt;&gt;"",M283,""))</f>
        <v/>
      </c>
    </row>
    <row r="284" customFormat="false" ht="15" hidden="false" customHeight="false" outlineLevel="0" collapsed="false">
      <c r="A284" s="9"/>
      <c r="B284" s="9"/>
      <c r="C284" s="26"/>
      <c r="D284" s="9"/>
      <c r="E284" s="9"/>
      <c r="F284" s="9"/>
      <c r="G284" s="27"/>
      <c r="H284" s="28"/>
      <c r="I284" s="28"/>
      <c r="J284" s="29" t="str">
        <f aca="false">IF(OR(H284="",I284="",I284=0),"",H284/I284)</f>
        <v/>
      </c>
      <c r="K284" s="30"/>
      <c r="L284" s="28"/>
      <c r="M284" s="28"/>
      <c r="N284" s="29" t="str">
        <f aca="false">IF(OR(L284="",M284="",M284=0),"",L284/M284)</f>
        <v/>
      </c>
      <c r="O284" s="30"/>
      <c r="P284" s="28"/>
      <c r="Q284" s="28"/>
      <c r="R284" s="29" t="str">
        <f aca="false">IF(OR(P284="",Q284="",Q284=0),"",P284/Q284)</f>
        <v/>
      </c>
      <c r="S284" s="30"/>
      <c r="T284" s="31" t="str">
        <f aca="false">IF(OR(AA284="",H284="",H284=0),"",AA284/H284-1)</f>
        <v/>
      </c>
      <c r="U284" s="31" t="str">
        <f aca="false">IF(OR(AB284="",I284="",I284=0),"",AB284/I284-1)</f>
        <v/>
      </c>
      <c r="V284" s="32" t="str">
        <f aca="false">IF(OR(J284="",IF(R284&lt;&gt;"",R284,N284)=""),"",(IF(R284&lt;&gt;"",R284,N284)-J284)*100)</f>
        <v/>
      </c>
      <c r="W284" s="33" t="str">
        <f aca="false">IF(OR(K284="",IF(S284&lt;&gt;"",S284,O284)=""),"",K284-IF(S284&lt;&gt;"",S284,O284))</f>
        <v/>
      </c>
      <c r="X284" s="34" t="str">
        <f aca="false">IF(F284="","",IF(E284="Redirected (301)",IF(AA284="","Pending","Redirected – see target"),IF(OR(AA284="",H284=""),"Pending",IF(H284=0,IF(AA284&gt;0,"Win","Neutral"),IF(AA284&gt;=H284*(1+'How to use'!$C$15),"Win",IF(AA284&lt;=H284*(1+'How to use'!$C$16),"Loss","Neutral"))))))</f>
        <v/>
      </c>
      <c r="Y284" s="35" t="str">
        <f aca="false">IF(OR(F284="",C284=""),"",IF(P284&lt;&gt;"","Done",IF(L284&lt;&gt;"",C284+'How to use'!$C$19+'How to use'!$C$17,C284+'How to use'!$C$18+'How to use'!$C$17)))</f>
        <v/>
      </c>
      <c r="Z284" s="9"/>
      <c r="AA284" s="36" t="str">
        <f aca="false">IF(P284&lt;&gt;"",P284,IF(L284&lt;&gt;"",L284,""))</f>
        <v/>
      </c>
      <c r="AB284" s="36" t="str">
        <f aca="false">IF(Q284&lt;&gt;"",Q284,IF(M284&lt;&gt;"",M284,""))</f>
        <v/>
      </c>
    </row>
    <row r="285" customFormat="false" ht="15" hidden="false" customHeight="false" outlineLevel="0" collapsed="false">
      <c r="A285" s="9"/>
      <c r="B285" s="9"/>
      <c r="C285" s="26"/>
      <c r="D285" s="9"/>
      <c r="E285" s="9"/>
      <c r="F285" s="9"/>
      <c r="G285" s="27"/>
      <c r="H285" s="28"/>
      <c r="I285" s="28"/>
      <c r="J285" s="29" t="str">
        <f aca="false">IF(OR(H285="",I285="",I285=0),"",H285/I285)</f>
        <v/>
      </c>
      <c r="K285" s="30"/>
      <c r="L285" s="28"/>
      <c r="M285" s="28"/>
      <c r="N285" s="29" t="str">
        <f aca="false">IF(OR(L285="",M285="",M285=0),"",L285/M285)</f>
        <v/>
      </c>
      <c r="O285" s="30"/>
      <c r="P285" s="28"/>
      <c r="Q285" s="28"/>
      <c r="R285" s="29" t="str">
        <f aca="false">IF(OR(P285="",Q285="",Q285=0),"",P285/Q285)</f>
        <v/>
      </c>
      <c r="S285" s="30"/>
      <c r="T285" s="31" t="str">
        <f aca="false">IF(OR(AA285="",H285="",H285=0),"",AA285/H285-1)</f>
        <v/>
      </c>
      <c r="U285" s="31" t="str">
        <f aca="false">IF(OR(AB285="",I285="",I285=0),"",AB285/I285-1)</f>
        <v/>
      </c>
      <c r="V285" s="32" t="str">
        <f aca="false">IF(OR(J285="",IF(R285&lt;&gt;"",R285,N285)=""),"",(IF(R285&lt;&gt;"",R285,N285)-J285)*100)</f>
        <v/>
      </c>
      <c r="W285" s="33" t="str">
        <f aca="false">IF(OR(K285="",IF(S285&lt;&gt;"",S285,O285)=""),"",K285-IF(S285&lt;&gt;"",S285,O285))</f>
        <v/>
      </c>
      <c r="X285" s="34" t="str">
        <f aca="false">IF(F285="","",IF(E285="Redirected (301)",IF(AA285="","Pending","Redirected – see target"),IF(OR(AA285="",H285=""),"Pending",IF(H285=0,IF(AA285&gt;0,"Win","Neutral"),IF(AA285&gt;=H285*(1+'How to use'!$C$15),"Win",IF(AA285&lt;=H285*(1+'How to use'!$C$16),"Loss","Neutral"))))))</f>
        <v/>
      </c>
      <c r="Y285" s="35" t="str">
        <f aca="false">IF(OR(F285="",C285=""),"",IF(P285&lt;&gt;"","Done",IF(L285&lt;&gt;"",C285+'How to use'!$C$19+'How to use'!$C$17,C285+'How to use'!$C$18+'How to use'!$C$17)))</f>
        <v/>
      </c>
      <c r="Z285" s="9"/>
      <c r="AA285" s="36" t="str">
        <f aca="false">IF(P285&lt;&gt;"",P285,IF(L285&lt;&gt;"",L285,""))</f>
        <v/>
      </c>
      <c r="AB285" s="36" t="str">
        <f aca="false">IF(Q285&lt;&gt;"",Q285,IF(M285&lt;&gt;"",M285,""))</f>
        <v/>
      </c>
    </row>
    <row r="286" customFormat="false" ht="15" hidden="false" customHeight="false" outlineLevel="0" collapsed="false">
      <c r="A286" s="9"/>
      <c r="B286" s="9"/>
      <c r="C286" s="26"/>
      <c r="D286" s="9"/>
      <c r="E286" s="9"/>
      <c r="F286" s="9"/>
      <c r="G286" s="27"/>
      <c r="H286" s="28"/>
      <c r="I286" s="28"/>
      <c r="J286" s="29" t="str">
        <f aca="false">IF(OR(H286="",I286="",I286=0),"",H286/I286)</f>
        <v/>
      </c>
      <c r="K286" s="30"/>
      <c r="L286" s="28"/>
      <c r="M286" s="28"/>
      <c r="N286" s="29" t="str">
        <f aca="false">IF(OR(L286="",M286="",M286=0),"",L286/M286)</f>
        <v/>
      </c>
      <c r="O286" s="30"/>
      <c r="P286" s="28"/>
      <c r="Q286" s="28"/>
      <c r="R286" s="29" t="str">
        <f aca="false">IF(OR(P286="",Q286="",Q286=0),"",P286/Q286)</f>
        <v/>
      </c>
      <c r="S286" s="30"/>
      <c r="T286" s="31" t="str">
        <f aca="false">IF(OR(AA286="",H286="",H286=0),"",AA286/H286-1)</f>
        <v/>
      </c>
      <c r="U286" s="31" t="str">
        <f aca="false">IF(OR(AB286="",I286="",I286=0),"",AB286/I286-1)</f>
        <v/>
      </c>
      <c r="V286" s="32" t="str">
        <f aca="false">IF(OR(J286="",IF(R286&lt;&gt;"",R286,N286)=""),"",(IF(R286&lt;&gt;"",R286,N286)-J286)*100)</f>
        <v/>
      </c>
      <c r="W286" s="33" t="str">
        <f aca="false">IF(OR(K286="",IF(S286&lt;&gt;"",S286,O286)=""),"",K286-IF(S286&lt;&gt;"",S286,O286))</f>
        <v/>
      </c>
      <c r="X286" s="34" t="str">
        <f aca="false">IF(F286="","",IF(E286="Redirected (301)",IF(AA286="","Pending","Redirected – see target"),IF(OR(AA286="",H286=""),"Pending",IF(H286=0,IF(AA286&gt;0,"Win","Neutral"),IF(AA286&gt;=H286*(1+'How to use'!$C$15),"Win",IF(AA286&lt;=H286*(1+'How to use'!$C$16),"Loss","Neutral"))))))</f>
        <v/>
      </c>
      <c r="Y286" s="35" t="str">
        <f aca="false">IF(OR(F286="",C286=""),"",IF(P286&lt;&gt;"","Done",IF(L286&lt;&gt;"",C286+'How to use'!$C$19+'How to use'!$C$17,C286+'How to use'!$C$18+'How to use'!$C$17)))</f>
        <v/>
      </c>
      <c r="Z286" s="9"/>
      <c r="AA286" s="36" t="str">
        <f aca="false">IF(P286&lt;&gt;"",P286,IF(L286&lt;&gt;"",L286,""))</f>
        <v/>
      </c>
      <c r="AB286" s="36" t="str">
        <f aca="false">IF(Q286&lt;&gt;"",Q286,IF(M286&lt;&gt;"",M286,""))</f>
        <v/>
      </c>
    </row>
    <row r="287" customFormat="false" ht="15" hidden="false" customHeight="false" outlineLevel="0" collapsed="false">
      <c r="A287" s="9"/>
      <c r="B287" s="9"/>
      <c r="C287" s="26"/>
      <c r="D287" s="9"/>
      <c r="E287" s="9"/>
      <c r="F287" s="9"/>
      <c r="G287" s="27"/>
      <c r="H287" s="28"/>
      <c r="I287" s="28"/>
      <c r="J287" s="29" t="str">
        <f aca="false">IF(OR(H287="",I287="",I287=0),"",H287/I287)</f>
        <v/>
      </c>
      <c r="K287" s="30"/>
      <c r="L287" s="28"/>
      <c r="M287" s="28"/>
      <c r="N287" s="29" t="str">
        <f aca="false">IF(OR(L287="",M287="",M287=0),"",L287/M287)</f>
        <v/>
      </c>
      <c r="O287" s="30"/>
      <c r="P287" s="28"/>
      <c r="Q287" s="28"/>
      <c r="R287" s="29" t="str">
        <f aca="false">IF(OR(P287="",Q287="",Q287=0),"",P287/Q287)</f>
        <v/>
      </c>
      <c r="S287" s="30"/>
      <c r="T287" s="31" t="str">
        <f aca="false">IF(OR(AA287="",H287="",H287=0),"",AA287/H287-1)</f>
        <v/>
      </c>
      <c r="U287" s="31" t="str">
        <f aca="false">IF(OR(AB287="",I287="",I287=0),"",AB287/I287-1)</f>
        <v/>
      </c>
      <c r="V287" s="32" t="str">
        <f aca="false">IF(OR(J287="",IF(R287&lt;&gt;"",R287,N287)=""),"",(IF(R287&lt;&gt;"",R287,N287)-J287)*100)</f>
        <v/>
      </c>
      <c r="W287" s="33" t="str">
        <f aca="false">IF(OR(K287="",IF(S287&lt;&gt;"",S287,O287)=""),"",K287-IF(S287&lt;&gt;"",S287,O287))</f>
        <v/>
      </c>
      <c r="X287" s="34" t="str">
        <f aca="false">IF(F287="","",IF(E287="Redirected (301)",IF(AA287="","Pending","Redirected – see target"),IF(OR(AA287="",H287=""),"Pending",IF(H287=0,IF(AA287&gt;0,"Win","Neutral"),IF(AA287&gt;=H287*(1+'How to use'!$C$15),"Win",IF(AA287&lt;=H287*(1+'How to use'!$C$16),"Loss","Neutral"))))))</f>
        <v/>
      </c>
      <c r="Y287" s="35" t="str">
        <f aca="false">IF(OR(F287="",C287=""),"",IF(P287&lt;&gt;"","Done",IF(L287&lt;&gt;"",C287+'How to use'!$C$19+'How to use'!$C$17,C287+'How to use'!$C$18+'How to use'!$C$17)))</f>
        <v/>
      </c>
      <c r="Z287" s="9"/>
      <c r="AA287" s="36" t="str">
        <f aca="false">IF(P287&lt;&gt;"",P287,IF(L287&lt;&gt;"",L287,""))</f>
        <v/>
      </c>
      <c r="AB287" s="36" t="str">
        <f aca="false">IF(Q287&lt;&gt;"",Q287,IF(M287&lt;&gt;"",M287,""))</f>
        <v/>
      </c>
    </row>
    <row r="288" customFormat="false" ht="15" hidden="false" customHeight="false" outlineLevel="0" collapsed="false">
      <c r="A288" s="9"/>
      <c r="B288" s="9"/>
      <c r="C288" s="26"/>
      <c r="D288" s="9"/>
      <c r="E288" s="9"/>
      <c r="F288" s="9"/>
      <c r="G288" s="27"/>
      <c r="H288" s="28"/>
      <c r="I288" s="28"/>
      <c r="J288" s="29" t="str">
        <f aca="false">IF(OR(H288="",I288="",I288=0),"",H288/I288)</f>
        <v/>
      </c>
      <c r="K288" s="30"/>
      <c r="L288" s="28"/>
      <c r="M288" s="28"/>
      <c r="N288" s="29" t="str">
        <f aca="false">IF(OR(L288="",M288="",M288=0),"",L288/M288)</f>
        <v/>
      </c>
      <c r="O288" s="30"/>
      <c r="P288" s="28"/>
      <c r="Q288" s="28"/>
      <c r="R288" s="29" t="str">
        <f aca="false">IF(OR(P288="",Q288="",Q288=0),"",P288/Q288)</f>
        <v/>
      </c>
      <c r="S288" s="30"/>
      <c r="T288" s="31" t="str">
        <f aca="false">IF(OR(AA288="",H288="",H288=0),"",AA288/H288-1)</f>
        <v/>
      </c>
      <c r="U288" s="31" t="str">
        <f aca="false">IF(OR(AB288="",I288="",I288=0),"",AB288/I288-1)</f>
        <v/>
      </c>
      <c r="V288" s="32" t="str">
        <f aca="false">IF(OR(J288="",IF(R288&lt;&gt;"",R288,N288)=""),"",(IF(R288&lt;&gt;"",R288,N288)-J288)*100)</f>
        <v/>
      </c>
      <c r="W288" s="33" t="str">
        <f aca="false">IF(OR(K288="",IF(S288&lt;&gt;"",S288,O288)=""),"",K288-IF(S288&lt;&gt;"",S288,O288))</f>
        <v/>
      </c>
      <c r="X288" s="34" t="str">
        <f aca="false">IF(F288="","",IF(E288="Redirected (301)",IF(AA288="","Pending","Redirected – see target"),IF(OR(AA288="",H288=""),"Pending",IF(H288=0,IF(AA288&gt;0,"Win","Neutral"),IF(AA288&gt;=H288*(1+'How to use'!$C$15),"Win",IF(AA288&lt;=H288*(1+'How to use'!$C$16),"Loss","Neutral"))))))</f>
        <v/>
      </c>
      <c r="Y288" s="35" t="str">
        <f aca="false">IF(OR(F288="",C288=""),"",IF(P288&lt;&gt;"","Done",IF(L288&lt;&gt;"",C288+'How to use'!$C$19+'How to use'!$C$17,C288+'How to use'!$C$18+'How to use'!$C$17)))</f>
        <v/>
      </c>
      <c r="Z288" s="9"/>
      <c r="AA288" s="36" t="str">
        <f aca="false">IF(P288&lt;&gt;"",P288,IF(L288&lt;&gt;"",L288,""))</f>
        <v/>
      </c>
      <c r="AB288" s="36" t="str">
        <f aca="false">IF(Q288&lt;&gt;"",Q288,IF(M288&lt;&gt;"",M288,""))</f>
        <v/>
      </c>
    </row>
    <row r="289" customFormat="false" ht="15" hidden="false" customHeight="false" outlineLevel="0" collapsed="false">
      <c r="A289" s="9"/>
      <c r="B289" s="9"/>
      <c r="C289" s="26"/>
      <c r="D289" s="9"/>
      <c r="E289" s="9"/>
      <c r="F289" s="9"/>
      <c r="G289" s="27"/>
      <c r="H289" s="28"/>
      <c r="I289" s="28"/>
      <c r="J289" s="29" t="str">
        <f aca="false">IF(OR(H289="",I289="",I289=0),"",H289/I289)</f>
        <v/>
      </c>
      <c r="K289" s="30"/>
      <c r="L289" s="28"/>
      <c r="M289" s="28"/>
      <c r="N289" s="29" t="str">
        <f aca="false">IF(OR(L289="",M289="",M289=0),"",L289/M289)</f>
        <v/>
      </c>
      <c r="O289" s="30"/>
      <c r="P289" s="28"/>
      <c r="Q289" s="28"/>
      <c r="R289" s="29" t="str">
        <f aca="false">IF(OR(P289="",Q289="",Q289=0),"",P289/Q289)</f>
        <v/>
      </c>
      <c r="S289" s="30"/>
      <c r="T289" s="31" t="str">
        <f aca="false">IF(OR(AA289="",H289="",H289=0),"",AA289/H289-1)</f>
        <v/>
      </c>
      <c r="U289" s="31" t="str">
        <f aca="false">IF(OR(AB289="",I289="",I289=0),"",AB289/I289-1)</f>
        <v/>
      </c>
      <c r="V289" s="32" t="str">
        <f aca="false">IF(OR(J289="",IF(R289&lt;&gt;"",R289,N289)=""),"",(IF(R289&lt;&gt;"",R289,N289)-J289)*100)</f>
        <v/>
      </c>
      <c r="W289" s="33" t="str">
        <f aca="false">IF(OR(K289="",IF(S289&lt;&gt;"",S289,O289)=""),"",K289-IF(S289&lt;&gt;"",S289,O289))</f>
        <v/>
      </c>
      <c r="X289" s="34" t="str">
        <f aca="false">IF(F289="","",IF(E289="Redirected (301)",IF(AA289="","Pending","Redirected – see target"),IF(OR(AA289="",H289=""),"Pending",IF(H289=0,IF(AA289&gt;0,"Win","Neutral"),IF(AA289&gt;=H289*(1+'How to use'!$C$15),"Win",IF(AA289&lt;=H289*(1+'How to use'!$C$16),"Loss","Neutral"))))))</f>
        <v/>
      </c>
      <c r="Y289" s="35" t="str">
        <f aca="false">IF(OR(F289="",C289=""),"",IF(P289&lt;&gt;"","Done",IF(L289&lt;&gt;"",C289+'How to use'!$C$19+'How to use'!$C$17,C289+'How to use'!$C$18+'How to use'!$C$17)))</f>
        <v/>
      </c>
      <c r="Z289" s="9"/>
      <c r="AA289" s="36" t="str">
        <f aca="false">IF(P289&lt;&gt;"",P289,IF(L289&lt;&gt;"",L289,""))</f>
        <v/>
      </c>
      <c r="AB289" s="36" t="str">
        <f aca="false">IF(Q289&lt;&gt;"",Q289,IF(M289&lt;&gt;"",M289,""))</f>
        <v/>
      </c>
    </row>
    <row r="290" customFormat="false" ht="15" hidden="false" customHeight="false" outlineLevel="0" collapsed="false">
      <c r="A290" s="9"/>
      <c r="B290" s="9"/>
      <c r="C290" s="26"/>
      <c r="D290" s="9"/>
      <c r="E290" s="9"/>
      <c r="F290" s="9"/>
      <c r="G290" s="27"/>
      <c r="H290" s="28"/>
      <c r="I290" s="28"/>
      <c r="J290" s="29" t="str">
        <f aca="false">IF(OR(H290="",I290="",I290=0),"",H290/I290)</f>
        <v/>
      </c>
      <c r="K290" s="30"/>
      <c r="L290" s="28"/>
      <c r="M290" s="28"/>
      <c r="N290" s="29" t="str">
        <f aca="false">IF(OR(L290="",M290="",M290=0),"",L290/M290)</f>
        <v/>
      </c>
      <c r="O290" s="30"/>
      <c r="P290" s="28"/>
      <c r="Q290" s="28"/>
      <c r="R290" s="29" t="str">
        <f aca="false">IF(OR(P290="",Q290="",Q290=0),"",P290/Q290)</f>
        <v/>
      </c>
      <c r="S290" s="30"/>
      <c r="T290" s="31" t="str">
        <f aca="false">IF(OR(AA290="",H290="",H290=0),"",AA290/H290-1)</f>
        <v/>
      </c>
      <c r="U290" s="31" t="str">
        <f aca="false">IF(OR(AB290="",I290="",I290=0),"",AB290/I290-1)</f>
        <v/>
      </c>
      <c r="V290" s="32" t="str">
        <f aca="false">IF(OR(J290="",IF(R290&lt;&gt;"",R290,N290)=""),"",(IF(R290&lt;&gt;"",R290,N290)-J290)*100)</f>
        <v/>
      </c>
      <c r="W290" s="33" t="str">
        <f aca="false">IF(OR(K290="",IF(S290&lt;&gt;"",S290,O290)=""),"",K290-IF(S290&lt;&gt;"",S290,O290))</f>
        <v/>
      </c>
      <c r="X290" s="34" t="str">
        <f aca="false">IF(F290="","",IF(E290="Redirected (301)",IF(AA290="","Pending","Redirected – see target"),IF(OR(AA290="",H290=""),"Pending",IF(H290=0,IF(AA290&gt;0,"Win","Neutral"),IF(AA290&gt;=H290*(1+'How to use'!$C$15),"Win",IF(AA290&lt;=H290*(1+'How to use'!$C$16),"Loss","Neutral"))))))</f>
        <v/>
      </c>
      <c r="Y290" s="35" t="str">
        <f aca="false">IF(OR(F290="",C290=""),"",IF(P290&lt;&gt;"","Done",IF(L290&lt;&gt;"",C290+'How to use'!$C$19+'How to use'!$C$17,C290+'How to use'!$C$18+'How to use'!$C$17)))</f>
        <v/>
      </c>
      <c r="Z290" s="9"/>
      <c r="AA290" s="36" t="str">
        <f aca="false">IF(P290&lt;&gt;"",P290,IF(L290&lt;&gt;"",L290,""))</f>
        <v/>
      </c>
      <c r="AB290" s="36" t="str">
        <f aca="false">IF(Q290&lt;&gt;"",Q290,IF(M290&lt;&gt;"",M290,""))</f>
        <v/>
      </c>
    </row>
    <row r="291" customFormat="false" ht="15" hidden="false" customHeight="false" outlineLevel="0" collapsed="false">
      <c r="A291" s="9"/>
      <c r="B291" s="9"/>
      <c r="C291" s="26"/>
      <c r="D291" s="9"/>
      <c r="E291" s="9"/>
      <c r="F291" s="9"/>
      <c r="G291" s="27"/>
      <c r="H291" s="28"/>
      <c r="I291" s="28"/>
      <c r="J291" s="29" t="str">
        <f aca="false">IF(OR(H291="",I291="",I291=0),"",H291/I291)</f>
        <v/>
      </c>
      <c r="K291" s="30"/>
      <c r="L291" s="28"/>
      <c r="M291" s="28"/>
      <c r="N291" s="29" t="str">
        <f aca="false">IF(OR(L291="",M291="",M291=0),"",L291/M291)</f>
        <v/>
      </c>
      <c r="O291" s="30"/>
      <c r="P291" s="28"/>
      <c r="Q291" s="28"/>
      <c r="R291" s="29" t="str">
        <f aca="false">IF(OR(P291="",Q291="",Q291=0),"",P291/Q291)</f>
        <v/>
      </c>
      <c r="S291" s="30"/>
      <c r="T291" s="31" t="str">
        <f aca="false">IF(OR(AA291="",H291="",H291=0),"",AA291/H291-1)</f>
        <v/>
      </c>
      <c r="U291" s="31" t="str">
        <f aca="false">IF(OR(AB291="",I291="",I291=0),"",AB291/I291-1)</f>
        <v/>
      </c>
      <c r="V291" s="32" t="str">
        <f aca="false">IF(OR(J291="",IF(R291&lt;&gt;"",R291,N291)=""),"",(IF(R291&lt;&gt;"",R291,N291)-J291)*100)</f>
        <v/>
      </c>
      <c r="W291" s="33" t="str">
        <f aca="false">IF(OR(K291="",IF(S291&lt;&gt;"",S291,O291)=""),"",K291-IF(S291&lt;&gt;"",S291,O291))</f>
        <v/>
      </c>
      <c r="X291" s="34" t="str">
        <f aca="false">IF(F291="","",IF(E291="Redirected (301)",IF(AA291="","Pending","Redirected – see target"),IF(OR(AA291="",H291=""),"Pending",IF(H291=0,IF(AA291&gt;0,"Win","Neutral"),IF(AA291&gt;=H291*(1+'How to use'!$C$15),"Win",IF(AA291&lt;=H291*(1+'How to use'!$C$16),"Loss","Neutral"))))))</f>
        <v/>
      </c>
      <c r="Y291" s="35" t="str">
        <f aca="false">IF(OR(F291="",C291=""),"",IF(P291&lt;&gt;"","Done",IF(L291&lt;&gt;"",C291+'How to use'!$C$19+'How to use'!$C$17,C291+'How to use'!$C$18+'How to use'!$C$17)))</f>
        <v/>
      </c>
      <c r="Z291" s="9"/>
      <c r="AA291" s="36" t="str">
        <f aca="false">IF(P291&lt;&gt;"",P291,IF(L291&lt;&gt;"",L291,""))</f>
        <v/>
      </c>
      <c r="AB291" s="36" t="str">
        <f aca="false">IF(Q291&lt;&gt;"",Q291,IF(M291&lt;&gt;"",M291,""))</f>
        <v/>
      </c>
    </row>
    <row r="292" customFormat="false" ht="15" hidden="false" customHeight="false" outlineLevel="0" collapsed="false">
      <c r="A292" s="9"/>
      <c r="B292" s="9"/>
      <c r="C292" s="26"/>
      <c r="D292" s="9"/>
      <c r="E292" s="9"/>
      <c r="F292" s="9"/>
      <c r="G292" s="27"/>
      <c r="H292" s="28"/>
      <c r="I292" s="28"/>
      <c r="J292" s="29" t="str">
        <f aca="false">IF(OR(H292="",I292="",I292=0),"",H292/I292)</f>
        <v/>
      </c>
      <c r="K292" s="30"/>
      <c r="L292" s="28"/>
      <c r="M292" s="28"/>
      <c r="N292" s="29" t="str">
        <f aca="false">IF(OR(L292="",M292="",M292=0),"",L292/M292)</f>
        <v/>
      </c>
      <c r="O292" s="30"/>
      <c r="P292" s="28"/>
      <c r="Q292" s="28"/>
      <c r="R292" s="29" t="str">
        <f aca="false">IF(OR(P292="",Q292="",Q292=0),"",P292/Q292)</f>
        <v/>
      </c>
      <c r="S292" s="30"/>
      <c r="T292" s="31" t="str">
        <f aca="false">IF(OR(AA292="",H292="",H292=0),"",AA292/H292-1)</f>
        <v/>
      </c>
      <c r="U292" s="31" t="str">
        <f aca="false">IF(OR(AB292="",I292="",I292=0),"",AB292/I292-1)</f>
        <v/>
      </c>
      <c r="V292" s="32" t="str">
        <f aca="false">IF(OR(J292="",IF(R292&lt;&gt;"",R292,N292)=""),"",(IF(R292&lt;&gt;"",R292,N292)-J292)*100)</f>
        <v/>
      </c>
      <c r="W292" s="33" t="str">
        <f aca="false">IF(OR(K292="",IF(S292&lt;&gt;"",S292,O292)=""),"",K292-IF(S292&lt;&gt;"",S292,O292))</f>
        <v/>
      </c>
      <c r="X292" s="34" t="str">
        <f aca="false">IF(F292="","",IF(E292="Redirected (301)",IF(AA292="","Pending","Redirected – see target"),IF(OR(AA292="",H292=""),"Pending",IF(H292=0,IF(AA292&gt;0,"Win","Neutral"),IF(AA292&gt;=H292*(1+'How to use'!$C$15),"Win",IF(AA292&lt;=H292*(1+'How to use'!$C$16),"Loss","Neutral"))))))</f>
        <v/>
      </c>
      <c r="Y292" s="35" t="str">
        <f aca="false">IF(OR(F292="",C292=""),"",IF(P292&lt;&gt;"","Done",IF(L292&lt;&gt;"",C292+'How to use'!$C$19+'How to use'!$C$17,C292+'How to use'!$C$18+'How to use'!$C$17)))</f>
        <v/>
      </c>
      <c r="Z292" s="9"/>
      <c r="AA292" s="36" t="str">
        <f aca="false">IF(P292&lt;&gt;"",P292,IF(L292&lt;&gt;"",L292,""))</f>
        <v/>
      </c>
      <c r="AB292" s="36" t="str">
        <f aca="false">IF(Q292&lt;&gt;"",Q292,IF(M292&lt;&gt;"",M292,""))</f>
        <v/>
      </c>
    </row>
    <row r="293" customFormat="false" ht="15" hidden="false" customHeight="false" outlineLevel="0" collapsed="false">
      <c r="A293" s="9"/>
      <c r="B293" s="9"/>
      <c r="C293" s="26"/>
      <c r="D293" s="9"/>
      <c r="E293" s="9"/>
      <c r="F293" s="9"/>
      <c r="G293" s="27"/>
      <c r="H293" s="28"/>
      <c r="I293" s="28"/>
      <c r="J293" s="29" t="str">
        <f aca="false">IF(OR(H293="",I293="",I293=0),"",H293/I293)</f>
        <v/>
      </c>
      <c r="K293" s="30"/>
      <c r="L293" s="28"/>
      <c r="M293" s="28"/>
      <c r="N293" s="29" t="str">
        <f aca="false">IF(OR(L293="",M293="",M293=0),"",L293/M293)</f>
        <v/>
      </c>
      <c r="O293" s="30"/>
      <c r="P293" s="28"/>
      <c r="Q293" s="28"/>
      <c r="R293" s="29" t="str">
        <f aca="false">IF(OR(P293="",Q293="",Q293=0),"",P293/Q293)</f>
        <v/>
      </c>
      <c r="S293" s="30"/>
      <c r="T293" s="31" t="str">
        <f aca="false">IF(OR(AA293="",H293="",H293=0),"",AA293/H293-1)</f>
        <v/>
      </c>
      <c r="U293" s="31" t="str">
        <f aca="false">IF(OR(AB293="",I293="",I293=0),"",AB293/I293-1)</f>
        <v/>
      </c>
      <c r="V293" s="32" t="str">
        <f aca="false">IF(OR(J293="",IF(R293&lt;&gt;"",R293,N293)=""),"",(IF(R293&lt;&gt;"",R293,N293)-J293)*100)</f>
        <v/>
      </c>
      <c r="W293" s="33" t="str">
        <f aca="false">IF(OR(K293="",IF(S293&lt;&gt;"",S293,O293)=""),"",K293-IF(S293&lt;&gt;"",S293,O293))</f>
        <v/>
      </c>
      <c r="X293" s="34" t="str">
        <f aca="false">IF(F293="","",IF(E293="Redirected (301)",IF(AA293="","Pending","Redirected – see target"),IF(OR(AA293="",H293=""),"Pending",IF(H293=0,IF(AA293&gt;0,"Win","Neutral"),IF(AA293&gt;=H293*(1+'How to use'!$C$15),"Win",IF(AA293&lt;=H293*(1+'How to use'!$C$16),"Loss","Neutral"))))))</f>
        <v/>
      </c>
      <c r="Y293" s="35" t="str">
        <f aca="false">IF(OR(F293="",C293=""),"",IF(P293&lt;&gt;"","Done",IF(L293&lt;&gt;"",C293+'How to use'!$C$19+'How to use'!$C$17,C293+'How to use'!$C$18+'How to use'!$C$17)))</f>
        <v/>
      </c>
      <c r="Z293" s="9"/>
      <c r="AA293" s="36" t="str">
        <f aca="false">IF(P293&lt;&gt;"",P293,IF(L293&lt;&gt;"",L293,""))</f>
        <v/>
      </c>
      <c r="AB293" s="36" t="str">
        <f aca="false">IF(Q293&lt;&gt;"",Q293,IF(M293&lt;&gt;"",M293,""))</f>
        <v/>
      </c>
    </row>
    <row r="294" customFormat="false" ht="15" hidden="false" customHeight="false" outlineLevel="0" collapsed="false">
      <c r="A294" s="9"/>
      <c r="B294" s="9"/>
      <c r="C294" s="26"/>
      <c r="D294" s="9"/>
      <c r="E294" s="9"/>
      <c r="F294" s="9"/>
      <c r="G294" s="27"/>
      <c r="H294" s="28"/>
      <c r="I294" s="28"/>
      <c r="J294" s="29" t="str">
        <f aca="false">IF(OR(H294="",I294="",I294=0),"",H294/I294)</f>
        <v/>
      </c>
      <c r="K294" s="30"/>
      <c r="L294" s="28"/>
      <c r="M294" s="28"/>
      <c r="N294" s="29" t="str">
        <f aca="false">IF(OR(L294="",M294="",M294=0),"",L294/M294)</f>
        <v/>
      </c>
      <c r="O294" s="30"/>
      <c r="P294" s="28"/>
      <c r="Q294" s="28"/>
      <c r="R294" s="29" t="str">
        <f aca="false">IF(OR(P294="",Q294="",Q294=0),"",P294/Q294)</f>
        <v/>
      </c>
      <c r="S294" s="30"/>
      <c r="T294" s="31" t="str">
        <f aca="false">IF(OR(AA294="",H294="",H294=0),"",AA294/H294-1)</f>
        <v/>
      </c>
      <c r="U294" s="31" t="str">
        <f aca="false">IF(OR(AB294="",I294="",I294=0),"",AB294/I294-1)</f>
        <v/>
      </c>
      <c r="V294" s="32" t="str">
        <f aca="false">IF(OR(J294="",IF(R294&lt;&gt;"",R294,N294)=""),"",(IF(R294&lt;&gt;"",R294,N294)-J294)*100)</f>
        <v/>
      </c>
      <c r="W294" s="33" t="str">
        <f aca="false">IF(OR(K294="",IF(S294&lt;&gt;"",S294,O294)=""),"",K294-IF(S294&lt;&gt;"",S294,O294))</f>
        <v/>
      </c>
      <c r="X294" s="34" t="str">
        <f aca="false">IF(F294="","",IF(E294="Redirected (301)",IF(AA294="","Pending","Redirected – see target"),IF(OR(AA294="",H294=""),"Pending",IF(H294=0,IF(AA294&gt;0,"Win","Neutral"),IF(AA294&gt;=H294*(1+'How to use'!$C$15),"Win",IF(AA294&lt;=H294*(1+'How to use'!$C$16),"Loss","Neutral"))))))</f>
        <v/>
      </c>
      <c r="Y294" s="35" t="str">
        <f aca="false">IF(OR(F294="",C294=""),"",IF(P294&lt;&gt;"","Done",IF(L294&lt;&gt;"",C294+'How to use'!$C$19+'How to use'!$C$17,C294+'How to use'!$C$18+'How to use'!$C$17)))</f>
        <v/>
      </c>
      <c r="Z294" s="9"/>
      <c r="AA294" s="36" t="str">
        <f aca="false">IF(P294&lt;&gt;"",P294,IF(L294&lt;&gt;"",L294,""))</f>
        <v/>
      </c>
      <c r="AB294" s="36" t="str">
        <f aca="false">IF(Q294&lt;&gt;"",Q294,IF(M294&lt;&gt;"",M294,""))</f>
        <v/>
      </c>
    </row>
    <row r="295" customFormat="false" ht="15" hidden="false" customHeight="false" outlineLevel="0" collapsed="false">
      <c r="A295" s="9"/>
      <c r="B295" s="9"/>
      <c r="C295" s="26"/>
      <c r="D295" s="9"/>
      <c r="E295" s="9"/>
      <c r="F295" s="9"/>
      <c r="G295" s="27"/>
      <c r="H295" s="28"/>
      <c r="I295" s="28"/>
      <c r="J295" s="29" t="str">
        <f aca="false">IF(OR(H295="",I295="",I295=0),"",H295/I295)</f>
        <v/>
      </c>
      <c r="K295" s="30"/>
      <c r="L295" s="28"/>
      <c r="M295" s="28"/>
      <c r="N295" s="29" t="str">
        <f aca="false">IF(OR(L295="",M295="",M295=0),"",L295/M295)</f>
        <v/>
      </c>
      <c r="O295" s="30"/>
      <c r="P295" s="28"/>
      <c r="Q295" s="28"/>
      <c r="R295" s="29" t="str">
        <f aca="false">IF(OR(P295="",Q295="",Q295=0),"",P295/Q295)</f>
        <v/>
      </c>
      <c r="S295" s="30"/>
      <c r="T295" s="31" t="str">
        <f aca="false">IF(OR(AA295="",H295="",H295=0),"",AA295/H295-1)</f>
        <v/>
      </c>
      <c r="U295" s="31" t="str">
        <f aca="false">IF(OR(AB295="",I295="",I295=0),"",AB295/I295-1)</f>
        <v/>
      </c>
      <c r="V295" s="32" t="str">
        <f aca="false">IF(OR(J295="",IF(R295&lt;&gt;"",R295,N295)=""),"",(IF(R295&lt;&gt;"",R295,N295)-J295)*100)</f>
        <v/>
      </c>
      <c r="W295" s="33" t="str">
        <f aca="false">IF(OR(K295="",IF(S295&lt;&gt;"",S295,O295)=""),"",K295-IF(S295&lt;&gt;"",S295,O295))</f>
        <v/>
      </c>
      <c r="X295" s="34" t="str">
        <f aca="false">IF(F295="","",IF(E295="Redirected (301)",IF(AA295="","Pending","Redirected – see target"),IF(OR(AA295="",H295=""),"Pending",IF(H295=0,IF(AA295&gt;0,"Win","Neutral"),IF(AA295&gt;=H295*(1+'How to use'!$C$15),"Win",IF(AA295&lt;=H295*(1+'How to use'!$C$16),"Loss","Neutral"))))))</f>
        <v/>
      </c>
      <c r="Y295" s="35" t="str">
        <f aca="false">IF(OR(F295="",C295=""),"",IF(P295&lt;&gt;"","Done",IF(L295&lt;&gt;"",C295+'How to use'!$C$19+'How to use'!$C$17,C295+'How to use'!$C$18+'How to use'!$C$17)))</f>
        <v/>
      </c>
      <c r="Z295" s="9"/>
      <c r="AA295" s="36" t="str">
        <f aca="false">IF(P295&lt;&gt;"",P295,IF(L295&lt;&gt;"",L295,""))</f>
        <v/>
      </c>
      <c r="AB295" s="36" t="str">
        <f aca="false">IF(Q295&lt;&gt;"",Q295,IF(M295&lt;&gt;"",M295,""))</f>
        <v/>
      </c>
    </row>
    <row r="296" customFormat="false" ht="15" hidden="false" customHeight="false" outlineLevel="0" collapsed="false">
      <c r="A296" s="9"/>
      <c r="B296" s="9"/>
      <c r="C296" s="26"/>
      <c r="D296" s="9"/>
      <c r="E296" s="9"/>
      <c r="F296" s="9"/>
      <c r="G296" s="27"/>
      <c r="H296" s="28"/>
      <c r="I296" s="28"/>
      <c r="J296" s="29" t="str">
        <f aca="false">IF(OR(H296="",I296="",I296=0),"",H296/I296)</f>
        <v/>
      </c>
      <c r="K296" s="30"/>
      <c r="L296" s="28"/>
      <c r="M296" s="28"/>
      <c r="N296" s="29" t="str">
        <f aca="false">IF(OR(L296="",M296="",M296=0),"",L296/M296)</f>
        <v/>
      </c>
      <c r="O296" s="30"/>
      <c r="P296" s="28"/>
      <c r="Q296" s="28"/>
      <c r="R296" s="29" t="str">
        <f aca="false">IF(OR(P296="",Q296="",Q296=0),"",P296/Q296)</f>
        <v/>
      </c>
      <c r="S296" s="30"/>
      <c r="T296" s="31" t="str">
        <f aca="false">IF(OR(AA296="",H296="",H296=0),"",AA296/H296-1)</f>
        <v/>
      </c>
      <c r="U296" s="31" t="str">
        <f aca="false">IF(OR(AB296="",I296="",I296=0),"",AB296/I296-1)</f>
        <v/>
      </c>
      <c r="V296" s="32" t="str">
        <f aca="false">IF(OR(J296="",IF(R296&lt;&gt;"",R296,N296)=""),"",(IF(R296&lt;&gt;"",R296,N296)-J296)*100)</f>
        <v/>
      </c>
      <c r="W296" s="33" t="str">
        <f aca="false">IF(OR(K296="",IF(S296&lt;&gt;"",S296,O296)=""),"",K296-IF(S296&lt;&gt;"",S296,O296))</f>
        <v/>
      </c>
      <c r="X296" s="34" t="str">
        <f aca="false">IF(F296="","",IF(E296="Redirected (301)",IF(AA296="","Pending","Redirected – see target"),IF(OR(AA296="",H296=""),"Pending",IF(H296=0,IF(AA296&gt;0,"Win","Neutral"),IF(AA296&gt;=H296*(1+'How to use'!$C$15),"Win",IF(AA296&lt;=H296*(1+'How to use'!$C$16),"Loss","Neutral"))))))</f>
        <v/>
      </c>
      <c r="Y296" s="35" t="str">
        <f aca="false">IF(OR(F296="",C296=""),"",IF(P296&lt;&gt;"","Done",IF(L296&lt;&gt;"",C296+'How to use'!$C$19+'How to use'!$C$17,C296+'How to use'!$C$18+'How to use'!$C$17)))</f>
        <v/>
      </c>
      <c r="Z296" s="9"/>
      <c r="AA296" s="36" t="str">
        <f aca="false">IF(P296&lt;&gt;"",P296,IF(L296&lt;&gt;"",L296,""))</f>
        <v/>
      </c>
      <c r="AB296" s="36" t="str">
        <f aca="false">IF(Q296&lt;&gt;"",Q296,IF(M296&lt;&gt;"",M296,""))</f>
        <v/>
      </c>
    </row>
    <row r="297" customFormat="false" ht="15" hidden="false" customHeight="false" outlineLevel="0" collapsed="false">
      <c r="A297" s="9"/>
      <c r="B297" s="9"/>
      <c r="C297" s="26"/>
      <c r="D297" s="9"/>
      <c r="E297" s="9"/>
      <c r="F297" s="9"/>
      <c r="G297" s="27"/>
      <c r="H297" s="28"/>
      <c r="I297" s="28"/>
      <c r="J297" s="29" t="str">
        <f aca="false">IF(OR(H297="",I297="",I297=0),"",H297/I297)</f>
        <v/>
      </c>
      <c r="K297" s="30"/>
      <c r="L297" s="28"/>
      <c r="M297" s="28"/>
      <c r="N297" s="29" t="str">
        <f aca="false">IF(OR(L297="",M297="",M297=0),"",L297/M297)</f>
        <v/>
      </c>
      <c r="O297" s="30"/>
      <c r="P297" s="28"/>
      <c r="Q297" s="28"/>
      <c r="R297" s="29" t="str">
        <f aca="false">IF(OR(P297="",Q297="",Q297=0),"",P297/Q297)</f>
        <v/>
      </c>
      <c r="S297" s="30"/>
      <c r="T297" s="31" t="str">
        <f aca="false">IF(OR(AA297="",H297="",H297=0),"",AA297/H297-1)</f>
        <v/>
      </c>
      <c r="U297" s="31" t="str">
        <f aca="false">IF(OR(AB297="",I297="",I297=0),"",AB297/I297-1)</f>
        <v/>
      </c>
      <c r="V297" s="32" t="str">
        <f aca="false">IF(OR(J297="",IF(R297&lt;&gt;"",R297,N297)=""),"",(IF(R297&lt;&gt;"",R297,N297)-J297)*100)</f>
        <v/>
      </c>
      <c r="W297" s="33" t="str">
        <f aca="false">IF(OR(K297="",IF(S297&lt;&gt;"",S297,O297)=""),"",K297-IF(S297&lt;&gt;"",S297,O297))</f>
        <v/>
      </c>
      <c r="X297" s="34" t="str">
        <f aca="false">IF(F297="","",IF(E297="Redirected (301)",IF(AA297="","Pending","Redirected – see target"),IF(OR(AA297="",H297=""),"Pending",IF(H297=0,IF(AA297&gt;0,"Win","Neutral"),IF(AA297&gt;=H297*(1+'How to use'!$C$15),"Win",IF(AA297&lt;=H297*(1+'How to use'!$C$16),"Loss","Neutral"))))))</f>
        <v/>
      </c>
      <c r="Y297" s="35" t="str">
        <f aca="false">IF(OR(F297="",C297=""),"",IF(P297&lt;&gt;"","Done",IF(L297&lt;&gt;"",C297+'How to use'!$C$19+'How to use'!$C$17,C297+'How to use'!$C$18+'How to use'!$C$17)))</f>
        <v/>
      </c>
      <c r="Z297" s="9"/>
      <c r="AA297" s="36" t="str">
        <f aca="false">IF(P297&lt;&gt;"",P297,IF(L297&lt;&gt;"",L297,""))</f>
        <v/>
      </c>
      <c r="AB297" s="36" t="str">
        <f aca="false">IF(Q297&lt;&gt;"",Q297,IF(M297&lt;&gt;"",M297,""))</f>
        <v/>
      </c>
    </row>
    <row r="298" customFormat="false" ht="15" hidden="false" customHeight="false" outlineLevel="0" collapsed="false">
      <c r="A298" s="9"/>
      <c r="B298" s="9"/>
      <c r="C298" s="26"/>
      <c r="D298" s="9"/>
      <c r="E298" s="9"/>
      <c r="F298" s="9"/>
      <c r="G298" s="27"/>
      <c r="H298" s="28"/>
      <c r="I298" s="28"/>
      <c r="J298" s="29" t="str">
        <f aca="false">IF(OR(H298="",I298="",I298=0),"",H298/I298)</f>
        <v/>
      </c>
      <c r="K298" s="30"/>
      <c r="L298" s="28"/>
      <c r="M298" s="28"/>
      <c r="N298" s="29" t="str">
        <f aca="false">IF(OR(L298="",M298="",M298=0),"",L298/M298)</f>
        <v/>
      </c>
      <c r="O298" s="30"/>
      <c r="P298" s="28"/>
      <c r="Q298" s="28"/>
      <c r="R298" s="29" t="str">
        <f aca="false">IF(OR(P298="",Q298="",Q298=0),"",P298/Q298)</f>
        <v/>
      </c>
      <c r="S298" s="30"/>
      <c r="T298" s="31" t="str">
        <f aca="false">IF(OR(AA298="",H298="",H298=0),"",AA298/H298-1)</f>
        <v/>
      </c>
      <c r="U298" s="31" t="str">
        <f aca="false">IF(OR(AB298="",I298="",I298=0),"",AB298/I298-1)</f>
        <v/>
      </c>
      <c r="V298" s="32" t="str">
        <f aca="false">IF(OR(J298="",IF(R298&lt;&gt;"",R298,N298)=""),"",(IF(R298&lt;&gt;"",R298,N298)-J298)*100)</f>
        <v/>
      </c>
      <c r="W298" s="33" t="str">
        <f aca="false">IF(OR(K298="",IF(S298&lt;&gt;"",S298,O298)=""),"",K298-IF(S298&lt;&gt;"",S298,O298))</f>
        <v/>
      </c>
      <c r="X298" s="34" t="str">
        <f aca="false">IF(F298="","",IF(E298="Redirected (301)",IF(AA298="","Pending","Redirected – see target"),IF(OR(AA298="",H298=""),"Pending",IF(H298=0,IF(AA298&gt;0,"Win","Neutral"),IF(AA298&gt;=H298*(1+'How to use'!$C$15),"Win",IF(AA298&lt;=H298*(1+'How to use'!$C$16),"Loss","Neutral"))))))</f>
        <v/>
      </c>
      <c r="Y298" s="35" t="str">
        <f aca="false">IF(OR(F298="",C298=""),"",IF(P298&lt;&gt;"","Done",IF(L298&lt;&gt;"",C298+'How to use'!$C$19+'How to use'!$C$17,C298+'How to use'!$C$18+'How to use'!$C$17)))</f>
        <v/>
      </c>
      <c r="Z298" s="9"/>
      <c r="AA298" s="36" t="str">
        <f aca="false">IF(P298&lt;&gt;"",P298,IF(L298&lt;&gt;"",L298,""))</f>
        <v/>
      </c>
      <c r="AB298" s="36" t="str">
        <f aca="false">IF(Q298&lt;&gt;"",Q298,IF(M298&lt;&gt;"",M298,""))</f>
        <v/>
      </c>
    </row>
    <row r="299" customFormat="false" ht="15" hidden="false" customHeight="false" outlineLevel="0" collapsed="false">
      <c r="A299" s="9"/>
      <c r="B299" s="9"/>
      <c r="C299" s="26"/>
      <c r="D299" s="9"/>
      <c r="E299" s="9"/>
      <c r="F299" s="9"/>
      <c r="G299" s="27"/>
      <c r="H299" s="28"/>
      <c r="I299" s="28"/>
      <c r="J299" s="29" t="str">
        <f aca="false">IF(OR(H299="",I299="",I299=0),"",H299/I299)</f>
        <v/>
      </c>
      <c r="K299" s="30"/>
      <c r="L299" s="28"/>
      <c r="M299" s="28"/>
      <c r="N299" s="29" t="str">
        <f aca="false">IF(OR(L299="",M299="",M299=0),"",L299/M299)</f>
        <v/>
      </c>
      <c r="O299" s="30"/>
      <c r="P299" s="28"/>
      <c r="Q299" s="28"/>
      <c r="R299" s="29" t="str">
        <f aca="false">IF(OR(P299="",Q299="",Q299=0),"",P299/Q299)</f>
        <v/>
      </c>
      <c r="S299" s="30"/>
      <c r="T299" s="31" t="str">
        <f aca="false">IF(OR(AA299="",H299="",H299=0),"",AA299/H299-1)</f>
        <v/>
      </c>
      <c r="U299" s="31" t="str">
        <f aca="false">IF(OR(AB299="",I299="",I299=0),"",AB299/I299-1)</f>
        <v/>
      </c>
      <c r="V299" s="32" t="str">
        <f aca="false">IF(OR(J299="",IF(R299&lt;&gt;"",R299,N299)=""),"",(IF(R299&lt;&gt;"",R299,N299)-J299)*100)</f>
        <v/>
      </c>
      <c r="W299" s="33" t="str">
        <f aca="false">IF(OR(K299="",IF(S299&lt;&gt;"",S299,O299)=""),"",K299-IF(S299&lt;&gt;"",S299,O299))</f>
        <v/>
      </c>
      <c r="X299" s="34" t="str">
        <f aca="false">IF(F299="","",IF(E299="Redirected (301)",IF(AA299="","Pending","Redirected – see target"),IF(OR(AA299="",H299=""),"Pending",IF(H299=0,IF(AA299&gt;0,"Win","Neutral"),IF(AA299&gt;=H299*(1+'How to use'!$C$15),"Win",IF(AA299&lt;=H299*(1+'How to use'!$C$16),"Loss","Neutral"))))))</f>
        <v/>
      </c>
      <c r="Y299" s="35" t="str">
        <f aca="false">IF(OR(F299="",C299=""),"",IF(P299&lt;&gt;"","Done",IF(L299&lt;&gt;"",C299+'How to use'!$C$19+'How to use'!$C$17,C299+'How to use'!$C$18+'How to use'!$C$17)))</f>
        <v/>
      </c>
      <c r="Z299" s="9"/>
      <c r="AA299" s="36" t="str">
        <f aca="false">IF(P299&lt;&gt;"",P299,IF(L299&lt;&gt;"",L299,""))</f>
        <v/>
      </c>
      <c r="AB299" s="36" t="str">
        <f aca="false">IF(Q299&lt;&gt;"",Q299,IF(M299&lt;&gt;"",M299,""))</f>
        <v/>
      </c>
    </row>
    <row r="300" customFormat="false" ht="15" hidden="false" customHeight="false" outlineLevel="0" collapsed="false">
      <c r="A300" s="9"/>
      <c r="B300" s="9"/>
      <c r="C300" s="26"/>
      <c r="D300" s="9"/>
      <c r="E300" s="9"/>
      <c r="F300" s="9"/>
      <c r="G300" s="27"/>
      <c r="H300" s="28"/>
      <c r="I300" s="28"/>
      <c r="J300" s="29" t="str">
        <f aca="false">IF(OR(H300="",I300="",I300=0),"",H300/I300)</f>
        <v/>
      </c>
      <c r="K300" s="30"/>
      <c r="L300" s="28"/>
      <c r="M300" s="28"/>
      <c r="N300" s="29" t="str">
        <f aca="false">IF(OR(L300="",M300="",M300=0),"",L300/M300)</f>
        <v/>
      </c>
      <c r="O300" s="30"/>
      <c r="P300" s="28"/>
      <c r="Q300" s="28"/>
      <c r="R300" s="29" t="str">
        <f aca="false">IF(OR(P300="",Q300="",Q300=0),"",P300/Q300)</f>
        <v/>
      </c>
      <c r="S300" s="30"/>
      <c r="T300" s="31" t="str">
        <f aca="false">IF(OR(AA300="",H300="",H300=0),"",AA300/H300-1)</f>
        <v/>
      </c>
      <c r="U300" s="31" t="str">
        <f aca="false">IF(OR(AB300="",I300="",I300=0),"",AB300/I300-1)</f>
        <v/>
      </c>
      <c r="V300" s="32" t="str">
        <f aca="false">IF(OR(J300="",IF(R300&lt;&gt;"",R300,N300)=""),"",(IF(R300&lt;&gt;"",R300,N300)-J300)*100)</f>
        <v/>
      </c>
      <c r="W300" s="33" t="str">
        <f aca="false">IF(OR(K300="",IF(S300&lt;&gt;"",S300,O300)=""),"",K300-IF(S300&lt;&gt;"",S300,O300))</f>
        <v/>
      </c>
      <c r="X300" s="34" t="str">
        <f aca="false">IF(F300="","",IF(E300="Redirected (301)",IF(AA300="","Pending","Redirected – see target"),IF(OR(AA300="",H300=""),"Pending",IF(H300=0,IF(AA300&gt;0,"Win","Neutral"),IF(AA300&gt;=H300*(1+'How to use'!$C$15),"Win",IF(AA300&lt;=H300*(1+'How to use'!$C$16),"Loss","Neutral"))))))</f>
        <v/>
      </c>
      <c r="Y300" s="35" t="str">
        <f aca="false">IF(OR(F300="",C300=""),"",IF(P300&lt;&gt;"","Done",IF(L300&lt;&gt;"",C300+'How to use'!$C$19+'How to use'!$C$17,C300+'How to use'!$C$18+'How to use'!$C$17)))</f>
        <v/>
      </c>
      <c r="Z300" s="9"/>
      <c r="AA300" s="36" t="str">
        <f aca="false">IF(P300&lt;&gt;"",P300,IF(L300&lt;&gt;"",L300,""))</f>
        <v/>
      </c>
      <c r="AB300" s="36" t="str">
        <f aca="false">IF(Q300&lt;&gt;"",Q300,IF(M300&lt;&gt;"",M300,""))</f>
        <v/>
      </c>
    </row>
    <row r="301" customFormat="false" ht="15" hidden="false" customHeight="false" outlineLevel="0" collapsed="false">
      <c r="A301" s="9"/>
      <c r="B301" s="9"/>
      <c r="C301" s="26"/>
      <c r="D301" s="9"/>
      <c r="E301" s="9"/>
      <c r="F301" s="9"/>
      <c r="G301" s="27"/>
      <c r="H301" s="28"/>
      <c r="I301" s="28"/>
      <c r="J301" s="29" t="str">
        <f aca="false">IF(OR(H301="",I301="",I301=0),"",H301/I301)</f>
        <v/>
      </c>
      <c r="K301" s="30"/>
      <c r="L301" s="28"/>
      <c r="M301" s="28"/>
      <c r="N301" s="29" t="str">
        <f aca="false">IF(OR(L301="",M301="",M301=0),"",L301/M301)</f>
        <v/>
      </c>
      <c r="O301" s="30"/>
      <c r="P301" s="28"/>
      <c r="Q301" s="28"/>
      <c r="R301" s="29" t="str">
        <f aca="false">IF(OR(P301="",Q301="",Q301=0),"",P301/Q301)</f>
        <v/>
      </c>
      <c r="S301" s="30"/>
      <c r="T301" s="31" t="str">
        <f aca="false">IF(OR(AA301="",H301="",H301=0),"",AA301/H301-1)</f>
        <v/>
      </c>
      <c r="U301" s="31" t="str">
        <f aca="false">IF(OR(AB301="",I301="",I301=0),"",AB301/I301-1)</f>
        <v/>
      </c>
      <c r="V301" s="32" t="str">
        <f aca="false">IF(OR(J301="",IF(R301&lt;&gt;"",R301,N301)=""),"",(IF(R301&lt;&gt;"",R301,N301)-J301)*100)</f>
        <v/>
      </c>
      <c r="W301" s="33" t="str">
        <f aca="false">IF(OR(K301="",IF(S301&lt;&gt;"",S301,O301)=""),"",K301-IF(S301&lt;&gt;"",S301,O301))</f>
        <v/>
      </c>
      <c r="X301" s="34" t="str">
        <f aca="false">IF(F301="","",IF(E301="Redirected (301)",IF(AA301="","Pending","Redirected – see target"),IF(OR(AA301="",H301=""),"Pending",IF(H301=0,IF(AA301&gt;0,"Win","Neutral"),IF(AA301&gt;=H301*(1+'How to use'!$C$15),"Win",IF(AA301&lt;=H301*(1+'How to use'!$C$16),"Loss","Neutral"))))))</f>
        <v/>
      </c>
      <c r="Y301" s="35" t="str">
        <f aca="false">IF(OR(F301="",C301=""),"",IF(P301&lt;&gt;"","Done",IF(L301&lt;&gt;"",C301+'How to use'!$C$19+'How to use'!$C$17,C301+'How to use'!$C$18+'How to use'!$C$17)))</f>
        <v/>
      </c>
      <c r="Z301" s="9"/>
      <c r="AA301" s="36" t="str">
        <f aca="false">IF(P301&lt;&gt;"",P301,IF(L301&lt;&gt;"",L301,""))</f>
        <v/>
      </c>
      <c r="AB301" s="36" t="str">
        <f aca="false">IF(Q301&lt;&gt;"",Q301,IF(M301&lt;&gt;"",M301,""))</f>
        <v/>
      </c>
    </row>
    <row r="302" customFormat="false" ht="15" hidden="false" customHeight="false" outlineLevel="0" collapsed="false">
      <c r="A302" s="9"/>
      <c r="B302" s="9"/>
      <c r="C302" s="26"/>
      <c r="D302" s="9"/>
      <c r="E302" s="9"/>
      <c r="F302" s="9"/>
      <c r="G302" s="27"/>
      <c r="H302" s="28"/>
      <c r="I302" s="28"/>
      <c r="J302" s="29" t="str">
        <f aca="false">IF(OR(H302="",I302="",I302=0),"",H302/I302)</f>
        <v/>
      </c>
      <c r="K302" s="30"/>
      <c r="L302" s="28"/>
      <c r="M302" s="28"/>
      <c r="N302" s="29" t="str">
        <f aca="false">IF(OR(L302="",M302="",M302=0),"",L302/M302)</f>
        <v/>
      </c>
      <c r="O302" s="30"/>
      <c r="P302" s="28"/>
      <c r="Q302" s="28"/>
      <c r="R302" s="29" t="str">
        <f aca="false">IF(OR(P302="",Q302="",Q302=0),"",P302/Q302)</f>
        <v/>
      </c>
      <c r="S302" s="30"/>
      <c r="T302" s="31" t="str">
        <f aca="false">IF(OR(AA302="",H302="",H302=0),"",AA302/H302-1)</f>
        <v/>
      </c>
      <c r="U302" s="31" t="str">
        <f aca="false">IF(OR(AB302="",I302="",I302=0),"",AB302/I302-1)</f>
        <v/>
      </c>
      <c r="V302" s="32" t="str">
        <f aca="false">IF(OR(J302="",IF(R302&lt;&gt;"",R302,N302)=""),"",(IF(R302&lt;&gt;"",R302,N302)-J302)*100)</f>
        <v/>
      </c>
      <c r="W302" s="33" t="str">
        <f aca="false">IF(OR(K302="",IF(S302&lt;&gt;"",S302,O302)=""),"",K302-IF(S302&lt;&gt;"",S302,O302))</f>
        <v/>
      </c>
      <c r="X302" s="34" t="str">
        <f aca="false">IF(F302="","",IF(E302="Redirected (301)",IF(AA302="","Pending","Redirected – see target"),IF(OR(AA302="",H302=""),"Pending",IF(H302=0,IF(AA302&gt;0,"Win","Neutral"),IF(AA302&gt;=H302*(1+'How to use'!$C$15),"Win",IF(AA302&lt;=H302*(1+'How to use'!$C$16),"Loss","Neutral"))))))</f>
        <v/>
      </c>
      <c r="Y302" s="35" t="str">
        <f aca="false">IF(OR(F302="",C302=""),"",IF(P302&lt;&gt;"","Done",IF(L302&lt;&gt;"",C302+'How to use'!$C$19+'How to use'!$C$17,C302+'How to use'!$C$18+'How to use'!$C$17)))</f>
        <v/>
      </c>
      <c r="Z302" s="9"/>
      <c r="AA302" s="36" t="str">
        <f aca="false">IF(P302&lt;&gt;"",P302,IF(L302&lt;&gt;"",L302,""))</f>
        <v/>
      </c>
      <c r="AB302" s="36" t="str">
        <f aca="false">IF(Q302&lt;&gt;"",Q302,IF(M302&lt;&gt;"",M302,""))</f>
        <v/>
      </c>
    </row>
    <row r="303" customFormat="false" ht="15" hidden="false" customHeight="false" outlineLevel="0" collapsed="false">
      <c r="A303" s="9"/>
      <c r="B303" s="9"/>
      <c r="C303" s="26"/>
      <c r="D303" s="9"/>
      <c r="E303" s="9"/>
      <c r="F303" s="9"/>
      <c r="G303" s="27"/>
      <c r="H303" s="28"/>
      <c r="I303" s="28"/>
      <c r="J303" s="29" t="str">
        <f aca="false">IF(OR(H303="",I303="",I303=0),"",H303/I303)</f>
        <v/>
      </c>
      <c r="K303" s="30"/>
      <c r="L303" s="28"/>
      <c r="M303" s="28"/>
      <c r="N303" s="29" t="str">
        <f aca="false">IF(OR(L303="",M303="",M303=0),"",L303/M303)</f>
        <v/>
      </c>
      <c r="O303" s="30"/>
      <c r="P303" s="28"/>
      <c r="Q303" s="28"/>
      <c r="R303" s="29" t="str">
        <f aca="false">IF(OR(P303="",Q303="",Q303=0),"",P303/Q303)</f>
        <v/>
      </c>
      <c r="S303" s="30"/>
      <c r="T303" s="31" t="str">
        <f aca="false">IF(OR(AA303="",H303="",H303=0),"",AA303/H303-1)</f>
        <v/>
      </c>
      <c r="U303" s="31" t="str">
        <f aca="false">IF(OR(AB303="",I303="",I303=0),"",AB303/I303-1)</f>
        <v/>
      </c>
      <c r="V303" s="32" t="str">
        <f aca="false">IF(OR(J303="",IF(R303&lt;&gt;"",R303,N303)=""),"",(IF(R303&lt;&gt;"",R303,N303)-J303)*100)</f>
        <v/>
      </c>
      <c r="W303" s="33" t="str">
        <f aca="false">IF(OR(K303="",IF(S303&lt;&gt;"",S303,O303)=""),"",K303-IF(S303&lt;&gt;"",S303,O303))</f>
        <v/>
      </c>
      <c r="X303" s="34" t="str">
        <f aca="false">IF(F303="","",IF(E303="Redirected (301)",IF(AA303="","Pending","Redirected – see target"),IF(OR(AA303="",H303=""),"Pending",IF(H303=0,IF(AA303&gt;0,"Win","Neutral"),IF(AA303&gt;=H303*(1+'How to use'!$C$15),"Win",IF(AA303&lt;=H303*(1+'How to use'!$C$16),"Loss","Neutral"))))))</f>
        <v/>
      </c>
      <c r="Y303" s="35" t="str">
        <f aca="false">IF(OR(F303="",C303=""),"",IF(P303&lt;&gt;"","Done",IF(L303&lt;&gt;"",C303+'How to use'!$C$19+'How to use'!$C$17,C303+'How to use'!$C$18+'How to use'!$C$17)))</f>
        <v/>
      </c>
      <c r="Z303" s="9"/>
      <c r="AA303" s="36" t="str">
        <f aca="false">IF(P303&lt;&gt;"",P303,IF(L303&lt;&gt;"",L303,""))</f>
        <v/>
      </c>
      <c r="AB303" s="36" t="str">
        <f aca="false">IF(Q303&lt;&gt;"",Q303,IF(M303&lt;&gt;"",M303,""))</f>
        <v/>
      </c>
    </row>
    <row r="304" customFormat="false" ht="15" hidden="false" customHeight="false" outlineLevel="0" collapsed="false">
      <c r="A304" s="9"/>
      <c r="B304" s="9"/>
      <c r="C304" s="26"/>
      <c r="D304" s="9"/>
      <c r="E304" s="9"/>
      <c r="F304" s="9"/>
      <c r="G304" s="27"/>
      <c r="H304" s="28"/>
      <c r="I304" s="28"/>
      <c r="J304" s="29" t="str">
        <f aca="false">IF(OR(H304="",I304="",I304=0),"",H304/I304)</f>
        <v/>
      </c>
      <c r="K304" s="30"/>
      <c r="L304" s="28"/>
      <c r="M304" s="28"/>
      <c r="N304" s="29" t="str">
        <f aca="false">IF(OR(L304="",M304="",M304=0),"",L304/M304)</f>
        <v/>
      </c>
      <c r="O304" s="30"/>
      <c r="P304" s="28"/>
      <c r="Q304" s="28"/>
      <c r="R304" s="29" t="str">
        <f aca="false">IF(OR(P304="",Q304="",Q304=0),"",P304/Q304)</f>
        <v/>
      </c>
      <c r="S304" s="30"/>
      <c r="T304" s="31" t="str">
        <f aca="false">IF(OR(AA304="",H304="",H304=0),"",AA304/H304-1)</f>
        <v/>
      </c>
      <c r="U304" s="31" t="str">
        <f aca="false">IF(OR(AB304="",I304="",I304=0),"",AB304/I304-1)</f>
        <v/>
      </c>
      <c r="V304" s="32" t="str">
        <f aca="false">IF(OR(J304="",IF(R304&lt;&gt;"",R304,N304)=""),"",(IF(R304&lt;&gt;"",R304,N304)-J304)*100)</f>
        <v/>
      </c>
      <c r="W304" s="33" t="str">
        <f aca="false">IF(OR(K304="",IF(S304&lt;&gt;"",S304,O304)=""),"",K304-IF(S304&lt;&gt;"",S304,O304))</f>
        <v/>
      </c>
      <c r="X304" s="34" t="str">
        <f aca="false">IF(F304="","",IF(E304="Redirected (301)",IF(AA304="","Pending","Redirected – see target"),IF(OR(AA304="",H304=""),"Pending",IF(H304=0,IF(AA304&gt;0,"Win","Neutral"),IF(AA304&gt;=H304*(1+'How to use'!$C$15),"Win",IF(AA304&lt;=H304*(1+'How to use'!$C$16),"Loss","Neutral"))))))</f>
        <v/>
      </c>
      <c r="Y304" s="35" t="str">
        <f aca="false">IF(OR(F304="",C304=""),"",IF(P304&lt;&gt;"","Done",IF(L304&lt;&gt;"",C304+'How to use'!$C$19+'How to use'!$C$17,C304+'How to use'!$C$18+'How to use'!$C$17)))</f>
        <v/>
      </c>
      <c r="Z304" s="9"/>
      <c r="AA304" s="36" t="str">
        <f aca="false">IF(P304&lt;&gt;"",P304,IF(L304&lt;&gt;"",L304,""))</f>
        <v/>
      </c>
      <c r="AB304" s="36" t="str">
        <f aca="false">IF(Q304&lt;&gt;"",Q304,IF(M304&lt;&gt;"",M304,""))</f>
        <v/>
      </c>
    </row>
    <row r="305" customFormat="false" ht="15" hidden="false" customHeight="false" outlineLevel="0" collapsed="false">
      <c r="A305" s="9"/>
      <c r="B305" s="9"/>
      <c r="C305" s="26"/>
      <c r="D305" s="9"/>
      <c r="E305" s="9"/>
      <c r="F305" s="9"/>
      <c r="G305" s="27"/>
      <c r="H305" s="28"/>
      <c r="I305" s="28"/>
      <c r="J305" s="29" t="str">
        <f aca="false">IF(OR(H305="",I305="",I305=0),"",H305/I305)</f>
        <v/>
      </c>
      <c r="K305" s="30"/>
      <c r="L305" s="28"/>
      <c r="M305" s="28"/>
      <c r="N305" s="29" t="str">
        <f aca="false">IF(OR(L305="",M305="",M305=0),"",L305/M305)</f>
        <v/>
      </c>
      <c r="O305" s="30"/>
      <c r="P305" s="28"/>
      <c r="Q305" s="28"/>
      <c r="R305" s="29" t="str">
        <f aca="false">IF(OR(P305="",Q305="",Q305=0),"",P305/Q305)</f>
        <v/>
      </c>
      <c r="S305" s="30"/>
      <c r="T305" s="31" t="str">
        <f aca="false">IF(OR(AA305="",H305="",H305=0),"",AA305/H305-1)</f>
        <v/>
      </c>
      <c r="U305" s="31" t="str">
        <f aca="false">IF(OR(AB305="",I305="",I305=0),"",AB305/I305-1)</f>
        <v/>
      </c>
      <c r="V305" s="32" t="str">
        <f aca="false">IF(OR(J305="",IF(R305&lt;&gt;"",R305,N305)=""),"",(IF(R305&lt;&gt;"",R305,N305)-J305)*100)</f>
        <v/>
      </c>
      <c r="W305" s="33" t="str">
        <f aca="false">IF(OR(K305="",IF(S305&lt;&gt;"",S305,O305)=""),"",K305-IF(S305&lt;&gt;"",S305,O305))</f>
        <v/>
      </c>
      <c r="X305" s="34" t="str">
        <f aca="false">IF(F305="","",IF(E305="Redirected (301)",IF(AA305="","Pending","Redirected – see target"),IF(OR(AA305="",H305=""),"Pending",IF(H305=0,IF(AA305&gt;0,"Win","Neutral"),IF(AA305&gt;=H305*(1+'How to use'!$C$15),"Win",IF(AA305&lt;=H305*(1+'How to use'!$C$16),"Loss","Neutral"))))))</f>
        <v/>
      </c>
      <c r="Y305" s="35" t="str">
        <f aca="false">IF(OR(F305="",C305=""),"",IF(P305&lt;&gt;"","Done",IF(L305&lt;&gt;"",C305+'How to use'!$C$19+'How to use'!$C$17,C305+'How to use'!$C$18+'How to use'!$C$17)))</f>
        <v/>
      </c>
      <c r="Z305" s="9"/>
      <c r="AA305" s="36" t="str">
        <f aca="false">IF(P305&lt;&gt;"",P305,IF(L305&lt;&gt;"",L305,""))</f>
        <v/>
      </c>
      <c r="AB305" s="36" t="str">
        <f aca="false">IF(Q305&lt;&gt;"",Q305,IF(M305&lt;&gt;"",M305,""))</f>
        <v/>
      </c>
    </row>
  </sheetData>
  <autoFilter ref="A5:AB305"/>
  <mergeCells count="7">
    <mergeCell ref="A4:G4"/>
    <mergeCell ref="H4:K4"/>
    <mergeCell ref="L4:O4"/>
    <mergeCell ref="P4:S4"/>
    <mergeCell ref="T4:W4"/>
    <mergeCell ref="X4:Z4"/>
    <mergeCell ref="AA4:AB4"/>
  </mergeCells>
  <conditionalFormatting sqref="X6:X305">
    <cfRule type="cellIs" priority="2" operator="equal" aboveAverage="0" equalAverage="0" bottom="0" percent="0" rank="0" text="" dxfId="7">
      <formula>"Win"</formula>
    </cfRule>
    <cfRule type="cellIs" priority="3" operator="equal" aboveAverage="0" equalAverage="0" bottom="0" percent="0" rank="0" text="" dxfId="8">
      <formula>"Loss"</formula>
    </cfRule>
    <cfRule type="cellIs" priority="4" operator="equal" aboveAverage="0" equalAverage="0" bottom="0" percent="0" rank="0" text="" dxfId="9">
      <formula>"Neutral"</formula>
    </cfRule>
    <cfRule type="cellIs" priority="5" operator="equal" aboveAverage="0" equalAverage="0" bottom="0" percent="0" rank="0" text="" dxfId="10">
      <formula>"Pending"</formula>
    </cfRule>
    <cfRule type="cellIs" priority="6" operator="equal" aboveAverage="0" equalAverage="0" bottom="0" percent="0" rank="0" text="" dxfId="11">
      <formula>"Redirected – see target"</formula>
    </cfRule>
  </conditionalFormatting>
  <conditionalFormatting sqref="T6:T305">
    <cfRule type="expression" priority="7" aboveAverage="0" equalAverage="0" bottom="0" percent="0" rank="0" text="" dxfId="12">
      <formula>AND(ISNUMBER(T6),T6&gt;0)</formula>
    </cfRule>
    <cfRule type="expression" priority="8" aboveAverage="0" equalAverage="0" bottom="0" percent="0" rank="0" text="" dxfId="13">
      <formula>AND(ISNUMBER(T6),T6&lt;0)</formula>
    </cfRule>
  </conditionalFormatting>
  <conditionalFormatting sqref="U6:U305">
    <cfRule type="expression" priority="9" aboveAverage="0" equalAverage="0" bottom="0" percent="0" rank="0" text="" dxfId="12">
      <formula>AND(ISNUMBER(U6),U6&gt;0)</formula>
    </cfRule>
    <cfRule type="expression" priority="10" aboveAverage="0" equalAverage="0" bottom="0" percent="0" rank="0" text="" dxfId="13">
      <formula>AND(ISNUMBER(U6),U6&lt;0)</formula>
    </cfRule>
  </conditionalFormatting>
  <conditionalFormatting sqref="V6:V305">
    <cfRule type="expression" priority="11" aboveAverage="0" equalAverage="0" bottom="0" percent="0" rank="0" text="" dxfId="12">
      <formula>AND(ISNUMBER(V6),V6&gt;0)</formula>
    </cfRule>
    <cfRule type="expression" priority="12" aboveAverage="0" equalAverage="0" bottom="0" percent="0" rank="0" text="" dxfId="13">
      <formula>AND(ISNUMBER(V6),V6&lt;0)</formula>
    </cfRule>
  </conditionalFormatting>
  <conditionalFormatting sqref="W6:W305">
    <cfRule type="expression" priority="13" aboveAverage="0" equalAverage="0" bottom="0" percent="0" rank="0" text="" dxfId="12">
      <formula>AND(ISNUMBER(W6),W6&gt;0)</formula>
    </cfRule>
    <cfRule type="expression" priority="14" aboveAverage="0" equalAverage="0" bottom="0" percent="0" rank="0" text="" dxfId="13">
      <formula>AND(ISNUMBER(W6),W6&lt;0)</formula>
    </cfRule>
  </conditionalFormatting>
  <dataValidations count="2">
    <dataValidation allowBlank="true" error="Pick from the list (or edit the list in Data → Data Validation)." errorStyle="warning" operator="between" showDropDown="false" showErrorMessage="false" showInputMessage="false" sqref="B6:B305" type="list">
      <formula1>"Merge + 301,Content refresh,Title / meta rewrite,Differentiate intent,Internal linking,New page,Technical fix,Other"</formula1>
      <formula2>0</formula2>
    </dataValidation>
    <dataValidation allowBlank="true" error="Pick from the list (or edit the list in Data → Data Validation)." errorStyle="warning" operator="between" showDropDown="false" showErrorMessage="false" showInputMessage="false" sqref="E6:E305" type="list">
      <formula1>"Kept (target),Redirected (301),Updated,New,Control (no change)"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7" min="4" style="0" width="12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7" t="s">
        <v>74</v>
      </c>
    </row>
    <row r="2" customFormat="false" ht="15" hidden="false" customHeight="false" outlineLevel="0" collapsed="false">
      <c r="A2" s="7" t="s">
        <v>75</v>
      </c>
    </row>
    <row r="4" customFormat="false" ht="30" hidden="false" customHeight="true" outlineLevel="0" collapsed="false">
      <c r="A4" s="25" t="s">
        <v>43</v>
      </c>
      <c r="B4" s="25" t="s">
        <v>76</v>
      </c>
      <c r="C4" s="25" t="s">
        <v>77</v>
      </c>
      <c r="D4" s="25" t="s">
        <v>78</v>
      </c>
      <c r="E4" s="25" t="s">
        <v>79</v>
      </c>
      <c r="F4" s="25" t="s">
        <v>60</v>
      </c>
      <c r="G4" s="25" t="s">
        <v>61</v>
      </c>
      <c r="H4" s="25" t="s">
        <v>54</v>
      </c>
      <c r="I4" s="25" t="s">
        <v>55</v>
      </c>
      <c r="J4" s="25" t="s">
        <v>80</v>
      </c>
      <c r="K4" s="25" t="s">
        <v>58</v>
      </c>
      <c r="L4" s="37" t="s">
        <v>81</v>
      </c>
    </row>
    <row r="5" customFormat="false" ht="23.85" hidden="false" customHeight="false" outlineLevel="0" collapsed="false">
      <c r="A5" s="9" t="s">
        <v>62</v>
      </c>
      <c r="B5" s="9"/>
      <c r="C5" s="38" t="n">
        <f aca="false">IF(A5="","",COUNTIFS(Tracker!$A$6:$A$305,A5,Tracker!$F$6:$F$305,IF(B5="","*",B5)))</f>
        <v>5</v>
      </c>
      <c r="D5" s="39" t="n">
        <f aca="false">IF(A5="","",SUMIFS(Tracker!$H$6:$H$305,Tracker!$A$6:$A$305,A5,Tracker!$F$6:$F$305,IF(B5="","*",B5)))</f>
        <v>38</v>
      </c>
      <c r="E5" s="39" t="n">
        <f aca="false">IF(A5="","",SUMIFS(Tracker!$I$6:$I$305,Tracker!$A$6:$A$305,A5,Tracker!$F$6:$F$305,IF(B5="","*",B5)))</f>
        <v>13533</v>
      </c>
      <c r="F5" s="39" t="n">
        <f aca="false">IF(OR(A5="",J5=0),"",SUMIFS(Tracker!$AA$6:$AA$305,Tracker!$A$6:$A$305,A5,Tracker!$F$6:$F$305,IF(B5="","*",B5)))</f>
        <v>0</v>
      </c>
      <c r="G5" s="39" t="n">
        <f aca="false">IF(OR(A5="",J5=0),"",SUMIFS(Tracker!$AB$6:$AB$305,Tracker!$A$6:$A$305,A5,Tracker!$F$6:$F$305,IF(B5="","*",B5)))</f>
        <v>0</v>
      </c>
      <c r="H5" s="40" t="n">
        <f aca="false">IF(OR(F5="",D5="",D5=0),"",F5/D5-1)</f>
        <v>-1</v>
      </c>
      <c r="I5" s="40" t="n">
        <f aca="false">IF(OR(G5="",E5="",E5=0),"",G5/E5-1)</f>
        <v>-1</v>
      </c>
      <c r="J5" s="38" t="n">
        <f aca="false">IF(A5="","",COUNTIFS(Tracker!$A$6:$A$305,A5,Tracker!$F$6:$F$305,IF(B5="","*",B5),Tracker!$AA$6:$AA$305,"&lt;&gt;"))</f>
        <v>5</v>
      </c>
      <c r="K5" s="41" t="str">
        <f aca="false">IF(A5="","",IF(OR(J5=0,J5&lt;C5),"Pending",IF(D5=0,IF(F5&gt;0,"Win","Neutral"),IF(F5&gt;=D5*(1+'How to use'!$C$15),"Win",IF(F5&lt;=D5*(1+'How to use'!$C$16),"Loss","Neutral")))))</f>
        <v>Loss</v>
      </c>
      <c r="L5" s="42" t="s">
        <v>82</v>
      </c>
    </row>
    <row r="6" customFormat="false" ht="15" hidden="false" customHeight="false" outlineLevel="0" collapsed="false">
      <c r="A6" s="9" t="s">
        <v>62</v>
      </c>
      <c r="B6" s="9" t="s">
        <v>68</v>
      </c>
      <c r="C6" s="38" t="n">
        <f aca="false">IF(A6="","",COUNTIFS(Tracker!$A$6:$A$305,A6,Tracker!$F$6:$F$305,IF(B6="","*",B6)))</f>
        <v>2</v>
      </c>
      <c r="D6" s="39" t="n">
        <f aca="false">IF(A6="","",SUMIFS(Tracker!$H$6:$H$305,Tracker!$A$6:$A$305,A6,Tracker!$F$6:$F$305,IF(B6="","*",B6)))</f>
        <v>13</v>
      </c>
      <c r="E6" s="39" t="n">
        <f aca="false">IF(A6="","",SUMIFS(Tracker!$I$6:$I$305,Tracker!$A$6:$A$305,A6,Tracker!$F$6:$F$305,IF(B6="","*",B6)))</f>
        <v>3767</v>
      </c>
      <c r="F6" s="39" t="n">
        <f aca="false">IF(OR(A6="",J6=0),"",SUMIFS(Tracker!$AA$6:$AA$305,Tracker!$A$6:$A$305,A6,Tracker!$F$6:$F$305,IF(B6="","*",B6)))</f>
        <v>0</v>
      </c>
      <c r="G6" s="39" t="n">
        <f aca="false">IF(OR(A6="",J6=0),"",SUMIFS(Tracker!$AB$6:$AB$305,Tracker!$A$6:$A$305,A6,Tracker!$F$6:$F$305,IF(B6="","*",B6)))</f>
        <v>0</v>
      </c>
      <c r="H6" s="40" t="n">
        <f aca="false">IF(OR(F6="",D6="",D6=0),"",F6/D6-1)</f>
        <v>-1</v>
      </c>
      <c r="I6" s="40" t="n">
        <f aca="false">IF(OR(G6="",E6="",E6=0),"",G6/E6-1)</f>
        <v>-1</v>
      </c>
      <c r="J6" s="38" t="n">
        <f aca="false">IF(A6="","",COUNTIFS(Tracker!$A$6:$A$305,A6,Tracker!$F$6:$F$305,IF(B6="","*",B6),Tracker!$AA$6:$AA$305,"&lt;&gt;"))</f>
        <v>2</v>
      </c>
      <c r="K6" s="41" t="str">
        <f aca="false">IF(A6="","",IF(OR(J6=0,J6&lt;C6),"Pending",IF(D6=0,IF(F6&gt;0,"Win","Neutral"),IF(F6&gt;=D6*(1+'How to use'!$C$15),"Win",IF(F6&lt;=D6*(1+'How to use'!$C$16),"Loss","Neutral")))))</f>
        <v>Loss</v>
      </c>
    </row>
    <row r="7" customFormat="false" ht="15" hidden="false" customHeight="false" outlineLevel="0" collapsed="false">
      <c r="A7" s="9" t="s">
        <v>62</v>
      </c>
      <c r="B7" s="9" t="s">
        <v>66</v>
      </c>
      <c r="C7" s="38" t="n">
        <f aca="false">IF(A7="","",COUNTIFS(Tracker!$A$6:$A$305,A7,Tracker!$F$6:$F$305,IF(B7="","*",B7)))</f>
        <v>2</v>
      </c>
      <c r="D7" s="39" t="n">
        <f aca="false">IF(A7="","",SUMIFS(Tracker!$H$6:$H$305,Tracker!$A$6:$A$305,A7,Tracker!$F$6:$F$305,IF(B7="","*",B7)))</f>
        <v>0</v>
      </c>
      <c r="E7" s="39" t="n">
        <f aca="false">IF(A7="","",SUMIFS(Tracker!$I$6:$I$305,Tracker!$A$6:$A$305,A7,Tracker!$F$6:$F$305,IF(B7="","*",B7)))</f>
        <v>1505</v>
      </c>
      <c r="F7" s="39" t="n">
        <f aca="false">IF(OR(A7="",J7=0),"",SUMIFS(Tracker!$AA$6:$AA$305,Tracker!$A$6:$A$305,A7,Tracker!$F$6:$F$305,IF(B7="","*",B7)))</f>
        <v>0</v>
      </c>
      <c r="G7" s="39" t="n">
        <f aca="false">IF(OR(A7="",J7=0),"",SUMIFS(Tracker!$AB$6:$AB$305,Tracker!$A$6:$A$305,A7,Tracker!$F$6:$F$305,IF(B7="","*",B7)))</f>
        <v>0</v>
      </c>
      <c r="H7" s="40" t="str">
        <f aca="false">IF(OR(F7="",D7="",D7=0),"",F7/D7-1)</f>
        <v/>
      </c>
      <c r="I7" s="40" t="n">
        <f aca="false">IF(OR(G7="",E7="",E7=0),"",G7/E7-1)</f>
        <v>-1</v>
      </c>
      <c r="J7" s="38" t="n">
        <f aca="false">IF(A7="","",COUNTIFS(Tracker!$A$6:$A$305,A7,Tracker!$F$6:$F$305,IF(B7="","*",B7),Tracker!$AA$6:$AA$305,"&lt;&gt;"))</f>
        <v>2</v>
      </c>
      <c r="K7" s="41" t="str">
        <f aca="false">IF(A7="","",IF(OR(J7=0,J7&lt;C7),"Pending",IF(D7=0,IF(F7&gt;0,"Win","Neutral"),IF(F7&gt;=D7*(1+'How to use'!$C$15),"Win",IF(F7&lt;=D7*(1+'How to use'!$C$16),"Loss","Neutral")))))</f>
        <v>Neutral</v>
      </c>
    </row>
    <row r="8" customFormat="false" ht="15" hidden="false" customHeight="false" outlineLevel="0" collapsed="false">
      <c r="A8" s="9" t="s">
        <v>62</v>
      </c>
      <c r="B8" s="9" t="s">
        <v>72</v>
      </c>
      <c r="C8" s="38" t="n">
        <f aca="false">IF(A8="","",COUNTIFS(Tracker!$A$6:$A$305,A8,Tracker!$F$6:$F$305,IF(B8="","*",B8)))</f>
        <v>1</v>
      </c>
      <c r="D8" s="39" t="n">
        <f aca="false">IF(A8="","",SUMIFS(Tracker!$H$6:$H$305,Tracker!$A$6:$A$305,A8,Tracker!$F$6:$F$305,IF(B8="","*",B8)))</f>
        <v>25</v>
      </c>
      <c r="E8" s="39" t="n">
        <f aca="false">IF(A8="","",SUMIFS(Tracker!$I$6:$I$305,Tracker!$A$6:$A$305,A8,Tracker!$F$6:$F$305,IF(B8="","*",B8)))</f>
        <v>8261</v>
      </c>
      <c r="F8" s="39" t="n">
        <f aca="false">IF(OR(A8="",J8=0),"",SUMIFS(Tracker!$AA$6:$AA$305,Tracker!$A$6:$A$305,A8,Tracker!$F$6:$F$305,IF(B8="","*",B8)))</f>
        <v>0</v>
      </c>
      <c r="G8" s="39" t="n">
        <f aca="false">IF(OR(A8="",J8=0),"",SUMIFS(Tracker!$AB$6:$AB$305,Tracker!$A$6:$A$305,A8,Tracker!$F$6:$F$305,IF(B8="","*",B8)))</f>
        <v>0</v>
      </c>
      <c r="H8" s="40" t="n">
        <f aca="false">IF(OR(F8="",D8="",D8=0),"",F8/D8-1)</f>
        <v>-1</v>
      </c>
      <c r="I8" s="40" t="n">
        <f aca="false">IF(OR(G8="",E8="",E8=0),"",G8/E8-1)</f>
        <v>-1</v>
      </c>
      <c r="J8" s="38" t="n">
        <f aca="false">IF(A8="","",COUNTIFS(Tracker!$A$6:$A$305,A8,Tracker!$F$6:$F$305,IF(B8="","*",B8),Tracker!$AA$6:$AA$305,"&lt;&gt;"))</f>
        <v>1</v>
      </c>
      <c r="K8" s="41" t="str">
        <f aca="false">IF(A8="","",IF(OR(J8=0,J8&lt;C8),"Pending",IF(D8=0,IF(F8&gt;0,"Win","Neutral"),IF(F8&gt;=D8*(1+'How to use'!$C$15),"Win",IF(F8&lt;=D8*(1+'How to use'!$C$16),"Loss","Neutral")))))</f>
        <v>Loss</v>
      </c>
    </row>
    <row r="9" customFormat="false" ht="15" hidden="false" customHeight="false" outlineLevel="0" collapsed="false">
      <c r="A9" s="9"/>
      <c r="B9" s="9"/>
      <c r="C9" s="38" t="str">
        <f aca="false">IF(A9="","",COUNTIFS(Tracker!$A$6:$A$305,A9,Tracker!$F$6:$F$305,IF(B9="","*",B9)))</f>
        <v/>
      </c>
      <c r="D9" s="39" t="str">
        <f aca="false">IF(A9="","",SUMIFS(Tracker!$H$6:$H$305,Tracker!$A$6:$A$305,A9,Tracker!$F$6:$F$305,IF(B9="","*",B9)))</f>
        <v/>
      </c>
      <c r="E9" s="39" t="str">
        <f aca="false">IF(A9="","",SUMIFS(Tracker!$I$6:$I$305,Tracker!$A$6:$A$305,A9,Tracker!$F$6:$F$305,IF(B9="","*",B9)))</f>
        <v/>
      </c>
      <c r="F9" s="39" t="str">
        <f aca="false">IF(OR(A9="",J9=0),"",SUMIFS(Tracker!$AA$6:$AA$305,Tracker!$A$6:$A$305,A9,Tracker!$F$6:$F$305,IF(B9="","*",B9)))</f>
        <v/>
      </c>
      <c r="G9" s="39" t="str">
        <f aca="false">IF(OR(A9="",J9=0),"",SUMIFS(Tracker!$AB$6:$AB$305,Tracker!$A$6:$A$305,A9,Tracker!$F$6:$F$305,IF(B9="","*",B9)))</f>
        <v/>
      </c>
      <c r="H9" s="40" t="str">
        <f aca="false">IF(OR(F9="",D9="",D9=0),"",F9/D9-1)</f>
        <v/>
      </c>
      <c r="I9" s="40" t="str">
        <f aca="false">IF(OR(G9="",E9="",E9=0),"",G9/E9-1)</f>
        <v/>
      </c>
      <c r="J9" s="38" t="str">
        <f aca="false">IF(A9="","",COUNTIFS(Tracker!$A$6:$A$305,A9,Tracker!$F$6:$F$305,IF(B9="","*",B9),Tracker!$AA$6:$AA$305,"&lt;&gt;"))</f>
        <v/>
      </c>
      <c r="K9" s="41" t="str">
        <f aca="false">IF(A9="","",IF(OR(J9=0,J9&lt;C9),"Pending",IF(D9=0,IF(F9&gt;0,"Win","Neutral"),IF(F9&gt;=D9*(1+'How to use'!$C$15),"Win",IF(F9&lt;=D9*(1+'How to use'!$C$16),"Loss","Neutral")))))</f>
        <v/>
      </c>
    </row>
    <row r="10" customFormat="false" ht="15" hidden="false" customHeight="false" outlineLevel="0" collapsed="false">
      <c r="A10" s="9"/>
      <c r="B10" s="9"/>
      <c r="C10" s="38" t="str">
        <f aca="false">IF(A10="","",COUNTIFS(Tracker!$A$6:$A$305,A10,Tracker!$F$6:$F$305,IF(B10="","*",B10)))</f>
        <v/>
      </c>
      <c r="D10" s="39" t="str">
        <f aca="false">IF(A10="","",SUMIFS(Tracker!$H$6:$H$305,Tracker!$A$6:$A$305,A10,Tracker!$F$6:$F$305,IF(B10="","*",B10)))</f>
        <v/>
      </c>
      <c r="E10" s="39" t="str">
        <f aca="false">IF(A10="","",SUMIFS(Tracker!$I$6:$I$305,Tracker!$A$6:$A$305,A10,Tracker!$F$6:$F$305,IF(B10="","*",B10)))</f>
        <v/>
      </c>
      <c r="F10" s="39" t="str">
        <f aca="false">IF(OR(A10="",J10=0),"",SUMIFS(Tracker!$AA$6:$AA$305,Tracker!$A$6:$A$305,A10,Tracker!$F$6:$F$305,IF(B10="","*",B10)))</f>
        <v/>
      </c>
      <c r="G10" s="39" t="str">
        <f aca="false">IF(OR(A10="",J10=0),"",SUMIFS(Tracker!$AB$6:$AB$305,Tracker!$A$6:$A$305,A10,Tracker!$F$6:$F$305,IF(B10="","*",B10)))</f>
        <v/>
      </c>
      <c r="H10" s="40" t="str">
        <f aca="false">IF(OR(F10="",D10="",D10=0),"",F10/D10-1)</f>
        <v/>
      </c>
      <c r="I10" s="40" t="str">
        <f aca="false">IF(OR(G10="",E10="",E10=0),"",G10/E10-1)</f>
        <v/>
      </c>
      <c r="J10" s="38" t="str">
        <f aca="false">IF(A10="","",COUNTIFS(Tracker!$A$6:$A$305,A10,Tracker!$F$6:$F$305,IF(B10="","*",B10),Tracker!$AA$6:$AA$305,"&lt;&gt;"))</f>
        <v/>
      </c>
      <c r="K10" s="41" t="str">
        <f aca="false">IF(A10="","",IF(OR(J10=0,J10&lt;C10),"Pending",IF(D10=0,IF(F10&gt;0,"Win","Neutral"),IF(F10&gt;=D10*(1+'How to use'!$C$15),"Win",IF(F10&lt;=D10*(1+'How to use'!$C$16),"Loss","Neutral")))))</f>
        <v/>
      </c>
    </row>
    <row r="11" customFormat="false" ht="15" hidden="false" customHeight="false" outlineLevel="0" collapsed="false">
      <c r="A11" s="9"/>
      <c r="B11" s="9"/>
      <c r="C11" s="38" t="str">
        <f aca="false">IF(A11="","",COUNTIFS(Tracker!$A$6:$A$305,A11,Tracker!$F$6:$F$305,IF(B11="","*",B11)))</f>
        <v/>
      </c>
      <c r="D11" s="39" t="str">
        <f aca="false">IF(A11="","",SUMIFS(Tracker!$H$6:$H$305,Tracker!$A$6:$A$305,A11,Tracker!$F$6:$F$305,IF(B11="","*",B11)))</f>
        <v/>
      </c>
      <c r="E11" s="39" t="str">
        <f aca="false">IF(A11="","",SUMIFS(Tracker!$I$6:$I$305,Tracker!$A$6:$A$305,A11,Tracker!$F$6:$F$305,IF(B11="","*",B11)))</f>
        <v/>
      </c>
      <c r="F11" s="39" t="str">
        <f aca="false">IF(OR(A11="",J11=0),"",SUMIFS(Tracker!$AA$6:$AA$305,Tracker!$A$6:$A$305,A11,Tracker!$F$6:$F$305,IF(B11="","*",B11)))</f>
        <v/>
      </c>
      <c r="G11" s="39" t="str">
        <f aca="false">IF(OR(A11="",J11=0),"",SUMIFS(Tracker!$AB$6:$AB$305,Tracker!$A$6:$A$305,A11,Tracker!$F$6:$F$305,IF(B11="","*",B11)))</f>
        <v/>
      </c>
      <c r="H11" s="40" t="str">
        <f aca="false">IF(OR(F11="",D11="",D11=0),"",F11/D11-1)</f>
        <v/>
      </c>
      <c r="I11" s="40" t="str">
        <f aca="false">IF(OR(G11="",E11="",E11=0),"",G11/E11-1)</f>
        <v/>
      </c>
      <c r="J11" s="38" t="str">
        <f aca="false">IF(A11="","",COUNTIFS(Tracker!$A$6:$A$305,A11,Tracker!$F$6:$F$305,IF(B11="","*",B11),Tracker!$AA$6:$AA$305,"&lt;&gt;"))</f>
        <v/>
      </c>
      <c r="K11" s="41" t="str">
        <f aca="false">IF(A11="","",IF(OR(J11=0,J11&lt;C11),"Pending",IF(D11=0,IF(F11&gt;0,"Win","Neutral"),IF(F11&gt;=D11*(1+'How to use'!$C$15),"Win",IF(F11&lt;=D11*(1+'How to use'!$C$16),"Loss","Neutral")))))</f>
        <v/>
      </c>
    </row>
    <row r="12" customFormat="false" ht="15" hidden="false" customHeight="false" outlineLevel="0" collapsed="false">
      <c r="A12" s="9"/>
      <c r="B12" s="9"/>
      <c r="C12" s="38" t="str">
        <f aca="false">IF(A12="","",COUNTIFS(Tracker!$A$6:$A$305,A12,Tracker!$F$6:$F$305,IF(B12="","*",B12)))</f>
        <v/>
      </c>
      <c r="D12" s="39" t="str">
        <f aca="false">IF(A12="","",SUMIFS(Tracker!$H$6:$H$305,Tracker!$A$6:$A$305,A12,Tracker!$F$6:$F$305,IF(B12="","*",B12)))</f>
        <v/>
      </c>
      <c r="E12" s="39" t="str">
        <f aca="false">IF(A12="","",SUMIFS(Tracker!$I$6:$I$305,Tracker!$A$6:$A$305,A12,Tracker!$F$6:$F$305,IF(B12="","*",B12)))</f>
        <v/>
      </c>
      <c r="F12" s="39" t="str">
        <f aca="false">IF(OR(A12="",J12=0),"",SUMIFS(Tracker!$AA$6:$AA$305,Tracker!$A$6:$A$305,A12,Tracker!$F$6:$F$305,IF(B12="","*",B12)))</f>
        <v/>
      </c>
      <c r="G12" s="39" t="str">
        <f aca="false">IF(OR(A12="",J12=0),"",SUMIFS(Tracker!$AB$6:$AB$305,Tracker!$A$6:$A$305,A12,Tracker!$F$6:$F$305,IF(B12="","*",B12)))</f>
        <v/>
      </c>
      <c r="H12" s="40" t="str">
        <f aca="false">IF(OR(F12="",D12="",D12=0),"",F12/D12-1)</f>
        <v/>
      </c>
      <c r="I12" s="40" t="str">
        <f aca="false">IF(OR(G12="",E12="",E12=0),"",G12/E12-1)</f>
        <v/>
      </c>
      <c r="J12" s="38" t="str">
        <f aca="false">IF(A12="","",COUNTIFS(Tracker!$A$6:$A$305,A12,Tracker!$F$6:$F$305,IF(B12="","*",B12),Tracker!$AA$6:$AA$305,"&lt;&gt;"))</f>
        <v/>
      </c>
      <c r="K12" s="41" t="str">
        <f aca="false">IF(A12="","",IF(OR(J12=0,J12&lt;C12),"Pending",IF(D12=0,IF(F12&gt;0,"Win","Neutral"),IF(F12&gt;=D12*(1+'How to use'!$C$15),"Win",IF(F12&lt;=D12*(1+'How to use'!$C$16),"Loss","Neutral")))))</f>
        <v/>
      </c>
    </row>
    <row r="13" customFormat="false" ht="15" hidden="false" customHeight="false" outlineLevel="0" collapsed="false">
      <c r="A13" s="9"/>
      <c r="B13" s="9"/>
      <c r="C13" s="38" t="str">
        <f aca="false">IF(A13="","",COUNTIFS(Tracker!$A$6:$A$305,A13,Tracker!$F$6:$F$305,IF(B13="","*",B13)))</f>
        <v/>
      </c>
      <c r="D13" s="39" t="str">
        <f aca="false">IF(A13="","",SUMIFS(Tracker!$H$6:$H$305,Tracker!$A$6:$A$305,A13,Tracker!$F$6:$F$305,IF(B13="","*",B13)))</f>
        <v/>
      </c>
      <c r="E13" s="39" t="str">
        <f aca="false">IF(A13="","",SUMIFS(Tracker!$I$6:$I$305,Tracker!$A$6:$A$305,A13,Tracker!$F$6:$F$305,IF(B13="","*",B13)))</f>
        <v/>
      </c>
      <c r="F13" s="39" t="str">
        <f aca="false">IF(OR(A13="",J13=0),"",SUMIFS(Tracker!$AA$6:$AA$305,Tracker!$A$6:$A$305,A13,Tracker!$F$6:$F$305,IF(B13="","*",B13)))</f>
        <v/>
      </c>
      <c r="G13" s="39" t="str">
        <f aca="false">IF(OR(A13="",J13=0),"",SUMIFS(Tracker!$AB$6:$AB$305,Tracker!$A$6:$A$305,A13,Tracker!$F$6:$F$305,IF(B13="","*",B13)))</f>
        <v/>
      </c>
      <c r="H13" s="40" t="str">
        <f aca="false">IF(OR(F13="",D13="",D13=0),"",F13/D13-1)</f>
        <v/>
      </c>
      <c r="I13" s="40" t="str">
        <f aca="false">IF(OR(G13="",E13="",E13=0),"",G13/E13-1)</f>
        <v/>
      </c>
      <c r="J13" s="38" t="str">
        <f aca="false">IF(A13="","",COUNTIFS(Tracker!$A$6:$A$305,A13,Tracker!$F$6:$F$305,IF(B13="","*",B13),Tracker!$AA$6:$AA$305,"&lt;&gt;"))</f>
        <v/>
      </c>
      <c r="K13" s="41" t="str">
        <f aca="false">IF(A13="","",IF(OR(J13=0,J13&lt;C13),"Pending",IF(D13=0,IF(F13&gt;0,"Win","Neutral"),IF(F13&gt;=D13*(1+'How to use'!$C$15),"Win",IF(F13&lt;=D13*(1+'How to use'!$C$16),"Loss","Neutral")))))</f>
        <v/>
      </c>
    </row>
    <row r="14" customFormat="false" ht="15" hidden="false" customHeight="false" outlineLevel="0" collapsed="false">
      <c r="A14" s="9"/>
      <c r="B14" s="9"/>
      <c r="C14" s="38" t="str">
        <f aca="false">IF(A14="","",COUNTIFS(Tracker!$A$6:$A$305,A14,Tracker!$F$6:$F$305,IF(B14="","*",B14)))</f>
        <v/>
      </c>
      <c r="D14" s="39" t="str">
        <f aca="false">IF(A14="","",SUMIFS(Tracker!$H$6:$H$305,Tracker!$A$6:$A$305,A14,Tracker!$F$6:$F$305,IF(B14="","*",B14)))</f>
        <v/>
      </c>
      <c r="E14" s="39" t="str">
        <f aca="false">IF(A14="","",SUMIFS(Tracker!$I$6:$I$305,Tracker!$A$6:$A$305,A14,Tracker!$F$6:$F$305,IF(B14="","*",B14)))</f>
        <v/>
      </c>
      <c r="F14" s="39" t="str">
        <f aca="false">IF(OR(A14="",J14=0),"",SUMIFS(Tracker!$AA$6:$AA$305,Tracker!$A$6:$A$305,A14,Tracker!$F$6:$F$305,IF(B14="","*",B14)))</f>
        <v/>
      </c>
      <c r="G14" s="39" t="str">
        <f aca="false">IF(OR(A14="",J14=0),"",SUMIFS(Tracker!$AB$6:$AB$305,Tracker!$A$6:$A$305,A14,Tracker!$F$6:$F$305,IF(B14="","*",B14)))</f>
        <v/>
      </c>
      <c r="H14" s="40" t="str">
        <f aca="false">IF(OR(F14="",D14="",D14=0),"",F14/D14-1)</f>
        <v/>
      </c>
      <c r="I14" s="40" t="str">
        <f aca="false">IF(OR(G14="",E14="",E14=0),"",G14/E14-1)</f>
        <v/>
      </c>
      <c r="J14" s="38" t="str">
        <f aca="false">IF(A14="","",COUNTIFS(Tracker!$A$6:$A$305,A14,Tracker!$F$6:$F$305,IF(B14="","*",B14),Tracker!$AA$6:$AA$305,"&lt;&gt;"))</f>
        <v/>
      </c>
      <c r="K14" s="41" t="str">
        <f aca="false">IF(A14="","",IF(OR(J14=0,J14&lt;C14),"Pending",IF(D14=0,IF(F14&gt;0,"Win","Neutral"),IF(F14&gt;=D14*(1+'How to use'!$C$15),"Win",IF(F14&lt;=D14*(1+'How to use'!$C$16),"Loss","Neutral")))))</f>
        <v/>
      </c>
    </row>
    <row r="15" customFormat="false" ht="15" hidden="false" customHeight="false" outlineLevel="0" collapsed="false">
      <c r="A15" s="9"/>
      <c r="B15" s="9"/>
      <c r="C15" s="38" t="str">
        <f aca="false">IF(A15="","",COUNTIFS(Tracker!$A$6:$A$305,A15,Tracker!$F$6:$F$305,IF(B15="","*",B15)))</f>
        <v/>
      </c>
      <c r="D15" s="39" t="str">
        <f aca="false">IF(A15="","",SUMIFS(Tracker!$H$6:$H$305,Tracker!$A$6:$A$305,A15,Tracker!$F$6:$F$305,IF(B15="","*",B15)))</f>
        <v/>
      </c>
      <c r="E15" s="39" t="str">
        <f aca="false">IF(A15="","",SUMIFS(Tracker!$I$6:$I$305,Tracker!$A$6:$A$305,A15,Tracker!$F$6:$F$305,IF(B15="","*",B15)))</f>
        <v/>
      </c>
      <c r="F15" s="39" t="str">
        <f aca="false">IF(OR(A15="",J15=0),"",SUMIFS(Tracker!$AA$6:$AA$305,Tracker!$A$6:$A$305,A15,Tracker!$F$6:$F$305,IF(B15="","*",B15)))</f>
        <v/>
      </c>
      <c r="G15" s="39" t="str">
        <f aca="false">IF(OR(A15="",J15=0),"",SUMIFS(Tracker!$AB$6:$AB$305,Tracker!$A$6:$A$305,A15,Tracker!$F$6:$F$305,IF(B15="","*",B15)))</f>
        <v/>
      </c>
      <c r="H15" s="40" t="str">
        <f aca="false">IF(OR(F15="",D15="",D15=0),"",F15/D15-1)</f>
        <v/>
      </c>
      <c r="I15" s="40" t="str">
        <f aca="false">IF(OR(G15="",E15="",E15=0),"",G15/E15-1)</f>
        <v/>
      </c>
      <c r="J15" s="38" t="str">
        <f aca="false">IF(A15="","",COUNTIFS(Tracker!$A$6:$A$305,A15,Tracker!$F$6:$F$305,IF(B15="","*",B15),Tracker!$AA$6:$AA$305,"&lt;&gt;"))</f>
        <v/>
      </c>
      <c r="K15" s="41" t="str">
        <f aca="false">IF(A15="","",IF(OR(J15=0,J15&lt;C15),"Pending",IF(D15=0,IF(F15&gt;0,"Win","Neutral"),IF(F15&gt;=D15*(1+'How to use'!$C$15),"Win",IF(F15&lt;=D15*(1+'How to use'!$C$16),"Loss","Neutral")))))</f>
        <v/>
      </c>
    </row>
    <row r="16" customFormat="false" ht="15" hidden="false" customHeight="false" outlineLevel="0" collapsed="false">
      <c r="A16" s="9"/>
      <c r="B16" s="9"/>
      <c r="C16" s="38" t="str">
        <f aca="false">IF(A16="","",COUNTIFS(Tracker!$A$6:$A$305,A16,Tracker!$F$6:$F$305,IF(B16="","*",B16)))</f>
        <v/>
      </c>
      <c r="D16" s="39" t="str">
        <f aca="false">IF(A16="","",SUMIFS(Tracker!$H$6:$H$305,Tracker!$A$6:$A$305,A16,Tracker!$F$6:$F$305,IF(B16="","*",B16)))</f>
        <v/>
      </c>
      <c r="E16" s="39" t="str">
        <f aca="false">IF(A16="","",SUMIFS(Tracker!$I$6:$I$305,Tracker!$A$6:$A$305,A16,Tracker!$F$6:$F$305,IF(B16="","*",B16)))</f>
        <v/>
      </c>
      <c r="F16" s="39" t="str">
        <f aca="false">IF(OR(A16="",J16=0),"",SUMIFS(Tracker!$AA$6:$AA$305,Tracker!$A$6:$A$305,A16,Tracker!$F$6:$F$305,IF(B16="","*",B16)))</f>
        <v/>
      </c>
      <c r="G16" s="39" t="str">
        <f aca="false">IF(OR(A16="",J16=0),"",SUMIFS(Tracker!$AB$6:$AB$305,Tracker!$A$6:$A$305,A16,Tracker!$F$6:$F$305,IF(B16="","*",B16)))</f>
        <v/>
      </c>
      <c r="H16" s="40" t="str">
        <f aca="false">IF(OR(F16="",D16="",D16=0),"",F16/D16-1)</f>
        <v/>
      </c>
      <c r="I16" s="40" t="str">
        <f aca="false">IF(OR(G16="",E16="",E16=0),"",G16/E16-1)</f>
        <v/>
      </c>
      <c r="J16" s="38" t="str">
        <f aca="false">IF(A16="","",COUNTIFS(Tracker!$A$6:$A$305,A16,Tracker!$F$6:$F$305,IF(B16="","*",B16),Tracker!$AA$6:$AA$305,"&lt;&gt;"))</f>
        <v/>
      </c>
      <c r="K16" s="41" t="str">
        <f aca="false">IF(A16="","",IF(OR(J16=0,J16&lt;C16),"Pending",IF(D16=0,IF(F16&gt;0,"Win","Neutral"),IF(F16&gt;=D16*(1+'How to use'!$C$15),"Win",IF(F16&lt;=D16*(1+'How to use'!$C$16),"Loss","Neutral")))))</f>
        <v/>
      </c>
    </row>
    <row r="17" customFormat="false" ht="15" hidden="false" customHeight="false" outlineLevel="0" collapsed="false">
      <c r="A17" s="9"/>
      <c r="B17" s="9"/>
      <c r="C17" s="38" t="str">
        <f aca="false">IF(A17="","",COUNTIFS(Tracker!$A$6:$A$305,A17,Tracker!$F$6:$F$305,IF(B17="","*",B17)))</f>
        <v/>
      </c>
      <c r="D17" s="39" t="str">
        <f aca="false">IF(A17="","",SUMIFS(Tracker!$H$6:$H$305,Tracker!$A$6:$A$305,A17,Tracker!$F$6:$F$305,IF(B17="","*",B17)))</f>
        <v/>
      </c>
      <c r="E17" s="39" t="str">
        <f aca="false">IF(A17="","",SUMIFS(Tracker!$I$6:$I$305,Tracker!$A$6:$A$305,A17,Tracker!$F$6:$F$305,IF(B17="","*",B17)))</f>
        <v/>
      </c>
      <c r="F17" s="39" t="str">
        <f aca="false">IF(OR(A17="",J17=0),"",SUMIFS(Tracker!$AA$6:$AA$305,Tracker!$A$6:$A$305,A17,Tracker!$F$6:$F$305,IF(B17="","*",B17)))</f>
        <v/>
      </c>
      <c r="G17" s="39" t="str">
        <f aca="false">IF(OR(A17="",J17=0),"",SUMIFS(Tracker!$AB$6:$AB$305,Tracker!$A$6:$A$305,A17,Tracker!$F$6:$F$305,IF(B17="","*",B17)))</f>
        <v/>
      </c>
      <c r="H17" s="40" t="str">
        <f aca="false">IF(OR(F17="",D17="",D17=0),"",F17/D17-1)</f>
        <v/>
      </c>
      <c r="I17" s="40" t="str">
        <f aca="false">IF(OR(G17="",E17="",E17=0),"",G17/E17-1)</f>
        <v/>
      </c>
      <c r="J17" s="38" t="str">
        <f aca="false">IF(A17="","",COUNTIFS(Tracker!$A$6:$A$305,A17,Tracker!$F$6:$F$305,IF(B17="","*",B17),Tracker!$AA$6:$AA$305,"&lt;&gt;"))</f>
        <v/>
      </c>
      <c r="K17" s="41" t="str">
        <f aca="false">IF(A17="","",IF(OR(J17=0,J17&lt;C17),"Pending",IF(D17=0,IF(F17&gt;0,"Win","Neutral"),IF(F17&gt;=D17*(1+'How to use'!$C$15),"Win",IF(F17&lt;=D17*(1+'How to use'!$C$16),"Loss","Neutral")))))</f>
        <v/>
      </c>
    </row>
    <row r="18" customFormat="false" ht="15" hidden="false" customHeight="false" outlineLevel="0" collapsed="false">
      <c r="A18" s="9"/>
      <c r="B18" s="9"/>
      <c r="C18" s="38" t="str">
        <f aca="false">IF(A18="","",COUNTIFS(Tracker!$A$6:$A$305,A18,Tracker!$F$6:$F$305,IF(B18="","*",B18)))</f>
        <v/>
      </c>
      <c r="D18" s="39" t="str">
        <f aca="false">IF(A18="","",SUMIFS(Tracker!$H$6:$H$305,Tracker!$A$6:$A$305,A18,Tracker!$F$6:$F$305,IF(B18="","*",B18)))</f>
        <v/>
      </c>
      <c r="E18" s="39" t="str">
        <f aca="false">IF(A18="","",SUMIFS(Tracker!$I$6:$I$305,Tracker!$A$6:$A$305,A18,Tracker!$F$6:$F$305,IF(B18="","*",B18)))</f>
        <v/>
      </c>
      <c r="F18" s="39" t="str">
        <f aca="false">IF(OR(A18="",J18=0),"",SUMIFS(Tracker!$AA$6:$AA$305,Tracker!$A$6:$A$305,A18,Tracker!$F$6:$F$305,IF(B18="","*",B18)))</f>
        <v/>
      </c>
      <c r="G18" s="39" t="str">
        <f aca="false">IF(OR(A18="",J18=0),"",SUMIFS(Tracker!$AB$6:$AB$305,Tracker!$A$6:$A$305,A18,Tracker!$F$6:$F$305,IF(B18="","*",B18)))</f>
        <v/>
      </c>
      <c r="H18" s="40" t="str">
        <f aca="false">IF(OR(F18="",D18="",D18=0),"",F18/D18-1)</f>
        <v/>
      </c>
      <c r="I18" s="40" t="str">
        <f aca="false">IF(OR(G18="",E18="",E18=0),"",G18/E18-1)</f>
        <v/>
      </c>
      <c r="J18" s="38" t="str">
        <f aca="false">IF(A18="","",COUNTIFS(Tracker!$A$6:$A$305,A18,Tracker!$F$6:$F$305,IF(B18="","*",B18),Tracker!$AA$6:$AA$305,"&lt;&gt;"))</f>
        <v/>
      </c>
      <c r="K18" s="41" t="str">
        <f aca="false">IF(A18="","",IF(OR(J18=0,J18&lt;C18),"Pending",IF(D18=0,IF(F18&gt;0,"Win","Neutral"),IF(F18&gt;=D18*(1+'How to use'!$C$15),"Win",IF(F18&lt;=D18*(1+'How to use'!$C$16),"Loss","Neutral")))))</f>
        <v/>
      </c>
    </row>
    <row r="19" customFormat="false" ht="15" hidden="false" customHeight="false" outlineLevel="0" collapsed="false">
      <c r="A19" s="9"/>
      <c r="B19" s="9"/>
      <c r="C19" s="38" t="str">
        <f aca="false">IF(A19="","",COUNTIFS(Tracker!$A$6:$A$305,A19,Tracker!$F$6:$F$305,IF(B19="","*",B19)))</f>
        <v/>
      </c>
      <c r="D19" s="39" t="str">
        <f aca="false">IF(A19="","",SUMIFS(Tracker!$H$6:$H$305,Tracker!$A$6:$A$305,A19,Tracker!$F$6:$F$305,IF(B19="","*",B19)))</f>
        <v/>
      </c>
      <c r="E19" s="39" t="str">
        <f aca="false">IF(A19="","",SUMIFS(Tracker!$I$6:$I$305,Tracker!$A$6:$A$305,A19,Tracker!$F$6:$F$305,IF(B19="","*",B19)))</f>
        <v/>
      </c>
      <c r="F19" s="39" t="str">
        <f aca="false">IF(OR(A19="",J19=0),"",SUMIFS(Tracker!$AA$6:$AA$305,Tracker!$A$6:$A$305,A19,Tracker!$F$6:$F$305,IF(B19="","*",B19)))</f>
        <v/>
      </c>
      <c r="G19" s="39" t="str">
        <f aca="false">IF(OR(A19="",J19=0),"",SUMIFS(Tracker!$AB$6:$AB$305,Tracker!$A$6:$A$305,A19,Tracker!$F$6:$F$305,IF(B19="","*",B19)))</f>
        <v/>
      </c>
      <c r="H19" s="40" t="str">
        <f aca="false">IF(OR(F19="",D19="",D19=0),"",F19/D19-1)</f>
        <v/>
      </c>
      <c r="I19" s="40" t="str">
        <f aca="false">IF(OR(G19="",E19="",E19=0),"",G19/E19-1)</f>
        <v/>
      </c>
      <c r="J19" s="38" t="str">
        <f aca="false">IF(A19="","",COUNTIFS(Tracker!$A$6:$A$305,A19,Tracker!$F$6:$F$305,IF(B19="","*",B19),Tracker!$AA$6:$AA$305,"&lt;&gt;"))</f>
        <v/>
      </c>
      <c r="K19" s="41" t="str">
        <f aca="false">IF(A19="","",IF(OR(J19=0,J19&lt;C19),"Pending",IF(D19=0,IF(F19&gt;0,"Win","Neutral"),IF(F19&gt;=D19*(1+'How to use'!$C$15),"Win",IF(F19&lt;=D19*(1+'How to use'!$C$16),"Loss","Neutral")))))</f>
        <v/>
      </c>
    </row>
    <row r="20" customFormat="false" ht="15" hidden="false" customHeight="false" outlineLevel="0" collapsed="false">
      <c r="A20" s="9"/>
      <c r="B20" s="9"/>
      <c r="C20" s="38" t="str">
        <f aca="false">IF(A20="","",COUNTIFS(Tracker!$A$6:$A$305,A20,Tracker!$F$6:$F$305,IF(B20="","*",B20)))</f>
        <v/>
      </c>
      <c r="D20" s="39" t="str">
        <f aca="false">IF(A20="","",SUMIFS(Tracker!$H$6:$H$305,Tracker!$A$6:$A$305,A20,Tracker!$F$6:$F$305,IF(B20="","*",B20)))</f>
        <v/>
      </c>
      <c r="E20" s="39" t="str">
        <f aca="false">IF(A20="","",SUMIFS(Tracker!$I$6:$I$305,Tracker!$A$6:$A$305,A20,Tracker!$F$6:$F$305,IF(B20="","*",B20)))</f>
        <v/>
      </c>
      <c r="F20" s="39" t="str">
        <f aca="false">IF(OR(A20="",J20=0),"",SUMIFS(Tracker!$AA$6:$AA$305,Tracker!$A$6:$A$305,A20,Tracker!$F$6:$F$305,IF(B20="","*",B20)))</f>
        <v/>
      </c>
      <c r="G20" s="39" t="str">
        <f aca="false">IF(OR(A20="",J20=0),"",SUMIFS(Tracker!$AB$6:$AB$305,Tracker!$A$6:$A$305,A20,Tracker!$F$6:$F$305,IF(B20="","*",B20)))</f>
        <v/>
      </c>
      <c r="H20" s="40" t="str">
        <f aca="false">IF(OR(F20="",D20="",D20=0),"",F20/D20-1)</f>
        <v/>
      </c>
      <c r="I20" s="40" t="str">
        <f aca="false">IF(OR(G20="",E20="",E20=0),"",G20/E20-1)</f>
        <v/>
      </c>
      <c r="J20" s="38" t="str">
        <f aca="false">IF(A20="","",COUNTIFS(Tracker!$A$6:$A$305,A20,Tracker!$F$6:$F$305,IF(B20="","*",B20),Tracker!$AA$6:$AA$305,"&lt;&gt;"))</f>
        <v/>
      </c>
      <c r="K20" s="41" t="str">
        <f aca="false">IF(A20="","",IF(OR(J20=0,J20&lt;C20),"Pending",IF(D20=0,IF(F20&gt;0,"Win","Neutral"),IF(F20&gt;=D20*(1+'How to use'!$C$15),"Win",IF(F20&lt;=D20*(1+'How to use'!$C$16),"Loss","Neutral")))))</f>
        <v/>
      </c>
    </row>
    <row r="21" customFormat="false" ht="15" hidden="false" customHeight="false" outlineLevel="0" collapsed="false">
      <c r="A21" s="9"/>
      <c r="B21" s="9"/>
      <c r="C21" s="38" t="str">
        <f aca="false">IF(A21="","",COUNTIFS(Tracker!$A$6:$A$305,A21,Tracker!$F$6:$F$305,IF(B21="","*",B21)))</f>
        <v/>
      </c>
      <c r="D21" s="39" t="str">
        <f aca="false">IF(A21="","",SUMIFS(Tracker!$H$6:$H$305,Tracker!$A$6:$A$305,A21,Tracker!$F$6:$F$305,IF(B21="","*",B21)))</f>
        <v/>
      </c>
      <c r="E21" s="39" t="str">
        <f aca="false">IF(A21="","",SUMIFS(Tracker!$I$6:$I$305,Tracker!$A$6:$A$305,A21,Tracker!$F$6:$F$305,IF(B21="","*",B21)))</f>
        <v/>
      </c>
      <c r="F21" s="39" t="str">
        <f aca="false">IF(OR(A21="",J21=0),"",SUMIFS(Tracker!$AA$6:$AA$305,Tracker!$A$6:$A$305,A21,Tracker!$F$6:$F$305,IF(B21="","*",B21)))</f>
        <v/>
      </c>
      <c r="G21" s="39" t="str">
        <f aca="false">IF(OR(A21="",J21=0),"",SUMIFS(Tracker!$AB$6:$AB$305,Tracker!$A$6:$A$305,A21,Tracker!$F$6:$F$305,IF(B21="","*",B21)))</f>
        <v/>
      </c>
      <c r="H21" s="40" t="str">
        <f aca="false">IF(OR(F21="",D21="",D21=0),"",F21/D21-1)</f>
        <v/>
      </c>
      <c r="I21" s="40" t="str">
        <f aca="false">IF(OR(G21="",E21="",E21=0),"",G21/E21-1)</f>
        <v/>
      </c>
      <c r="J21" s="38" t="str">
        <f aca="false">IF(A21="","",COUNTIFS(Tracker!$A$6:$A$305,A21,Tracker!$F$6:$F$305,IF(B21="","*",B21),Tracker!$AA$6:$AA$305,"&lt;&gt;"))</f>
        <v/>
      </c>
      <c r="K21" s="41" t="str">
        <f aca="false">IF(A21="","",IF(OR(J21=0,J21&lt;C21),"Pending",IF(D21=0,IF(F21&gt;0,"Win","Neutral"),IF(F21&gt;=D21*(1+'How to use'!$C$15),"Win",IF(F21&lt;=D21*(1+'How to use'!$C$16),"Loss","Neutral")))))</f>
        <v/>
      </c>
    </row>
    <row r="22" customFormat="false" ht="15" hidden="false" customHeight="false" outlineLevel="0" collapsed="false">
      <c r="A22" s="9"/>
      <c r="B22" s="9"/>
      <c r="C22" s="38" t="str">
        <f aca="false">IF(A22="","",COUNTIFS(Tracker!$A$6:$A$305,A22,Tracker!$F$6:$F$305,IF(B22="","*",B22)))</f>
        <v/>
      </c>
      <c r="D22" s="39" t="str">
        <f aca="false">IF(A22="","",SUMIFS(Tracker!$H$6:$H$305,Tracker!$A$6:$A$305,A22,Tracker!$F$6:$F$305,IF(B22="","*",B22)))</f>
        <v/>
      </c>
      <c r="E22" s="39" t="str">
        <f aca="false">IF(A22="","",SUMIFS(Tracker!$I$6:$I$305,Tracker!$A$6:$A$305,A22,Tracker!$F$6:$F$305,IF(B22="","*",B22)))</f>
        <v/>
      </c>
      <c r="F22" s="39" t="str">
        <f aca="false">IF(OR(A22="",J22=0),"",SUMIFS(Tracker!$AA$6:$AA$305,Tracker!$A$6:$A$305,A22,Tracker!$F$6:$F$305,IF(B22="","*",B22)))</f>
        <v/>
      </c>
      <c r="G22" s="39" t="str">
        <f aca="false">IF(OR(A22="",J22=0),"",SUMIFS(Tracker!$AB$6:$AB$305,Tracker!$A$6:$A$305,A22,Tracker!$F$6:$F$305,IF(B22="","*",B22)))</f>
        <v/>
      </c>
      <c r="H22" s="40" t="str">
        <f aca="false">IF(OR(F22="",D22="",D22=0),"",F22/D22-1)</f>
        <v/>
      </c>
      <c r="I22" s="40" t="str">
        <f aca="false">IF(OR(G22="",E22="",E22=0),"",G22/E22-1)</f>
        <v/>
      </c>
      <c r="J22" s="38" t="str">
        <f aca="false">IF(A22="","",COUNTIFS(Tracker!$A$6:$A$305,A22,Tracker!$F$6:$F$305,IF(B22="","*",B22),Tracker!$AA$6:$AA$305,"&lt;&gt;"))</f>
        <v/>
      </c>
      <c r="K22" s="41" t="str">
        <f aca="false">IF(A22="","",IF(OR(J22=0,J22&lt;C22),"Pending",IF(D22=0,IF(F22&gt;0,"Win","Neutral"),IF(F22&gt;=D22*(1+'How to use'!$C$15),"Win",IF(F22&lt;=D22*(1+'How to use'!$C$16),"Loss","Neutral")))))</f>
        <v/>
      </c>
    </row>
    <row r="23" customFormat="false" ht="15" hidden="false" customHeight="false" outlineLevel="0" collapsed="false">
      <c r="A23" s="9"/>
      <c r="B23" s="9"/>
      <c r="C23" s="38" t="str">
        <f aca="false">IF(A23="","",COUNTIFS(Tracker!$A$6:$A$305,A23,Tracker!$F$6:$F$305,IF(B23="","*",B23)))</f>
        <v/>
      </c>
      <c r="D23" s="39" t="str">
        <f aca="false">IF(A23="","",SUMIFS(Tracker!$H$6:$H$305,Tracker!$A$6:$A$305,A23,Tracker!$F$6:$F$305,IF(B23="","*",B23)))</f>
        <v/>
      </c>
      <c r="E23" s="39" t="str">
        <f aca="false">IF(A23="","",SUMIFS(Tracker!$I$6:$I$305,Tracker!$A$6:$A$305,A23,Tracker!$F$6:$F$305,IF(B23="","*",B23)))</f>
        <v/>
      </c>
      <c r="F23" s="39" t="str">
        <f aca="false">IF(OR(A23="",J23=0),"",SUMIFS(Tracker!$AA$6:$AA$305,Tracker!$A$6:$A$305,A23,Tracker!$F$6:$F$305,IF(B23="","*",B23)))</f>
        <v/>
      </c>
      <c r="G23" s="39" t="str">
        <f aca="false">IF(OR(A23="",J23=0),"",SUMIFS(Tracker!$AB$6:$AB$305,Tracker!$A$6:$A$305,A23,Tracker!$F$6:$F$305,IF(B23="","*",B23)))</f>
        <v/>
      </c>
      <c r="H23" s="40" t="str">
        <f aca="false">IF(OR(F23="",D23="",D23=0),"",F23/D23-1)</f>
        <v/>
      </c>
      <c r="I23" s="40" t="str">
        <f aca="false">IF(OR(G23="",E23="",E23=0),"",G23/E23-1)</f>
        <v/>
      </c>
      <c r="J23" s="38" t="str">
        <f aca="false">IF(A23="","",COUNTIFS(Tracker!$A$6:$A$305,A23,Tracker!$F$6:$F$305,IF(B23="","*",B23),Tracker!$AA$6:$AA$305,"&lt;&gt;"))</f>
        <v/>
      </c>
      <c r="K23" s="41" t="str">
        <f aca="false">IF(A23="","",IF(OR(J23=0,J23&lt;C23),"Pending",IF(D23=0,IF(F23&gt;0,"Win","Neutral"),IF(F23&gt;=D23*(1+'How to use'!$C$15),"Win",IF(F23&lt;=D23*(1+'How to use'!$C$16),"Loss","Neutral")))))</f>
        <v/>
      </c>
    </row>
    <row r="24" customFormat="false" ht="15" hidden="false" customHeight="false" outlineLevel="0" collapsed="false">
      <c r="A24" s="9"/>
      <c r="B24" s="9"/>
      <c r="C24" s="38" t="str">
        <f aca="false">IF(A24="","",COUNTIFS(Tracker!$A$6:$A$305,A24,Tracker!$F$6:$F$305,IF(B24="","*",B24)))</f>
        <v/>
      </c>
      <c r="D24" s="39" t="str">
        <f aca="false">IF(A24="","",SUMIFS(Tracker!$H$6:$H$305,Tracker!$A$6:$A$305,A24,Tracker!$F$6:$F$305,IF(B24="","*",B24)))</f>
        <v/>
      </c>
      <c r="E24" s="39" t="str">
        <f aca="false">IF(A24="","",SUMIFS(Tracker!$I$6:$I$305,Tracker!$A$6:$A$305,A24,Tracker!$F$6:$F$305,IF(B24="","*",B24)))</f>
        <v/>
      </c>
      <c r="F24" s="39" t="str">
        <f aca="false">IF(OR(A24="",J24=0),"",SUMIFS(Tracker!$AA$6:$AA$305,Tracker!$A$6:$A$305,A24,Tracker!$F$6:$F$305,IF(B24="","*",B24)))</f>
        <v/>
      </c>
      <c r="G24" s="39" t="str">
        <f aca="false">IF(OR(A24="",J24=0),"",SUMIFS(Tracker!$AB$6:$AB$305,Tracker!$A$6:$A$305,A24,Tracker!$F$6:$F$305,IF(B24="","*",B24)))</f>
        <v/>
      </c>
      <c r="H24" s="40" t="str">
        <f aca="false">IF(OR(F24="",D24="",D24=0),"",F24/D24-1)</f>
        <v/>
      </c>
      <c r="I24" s="40" t="str">
        <f aca="false">IF(OR(G24="",E24="",E24=0),"",G24/E24-1)</f>
        <v/>
      </c>
      <c r="J24" s="38" t="str">
        <f aca="false">IF(A24="","",COUNTIFS(Tracker!$A$6:$A$305,A24,Tracker!$F$6:$F$305,IF(B24="","*",B24),Tracker!$AA$6:$AA$305,"&lt;&gt;"))</f>
        <v/>
      </c>
      <c r="K24" s="41" t="str">
        <f aca="false">IF(A24="","",IF(OR(J24=0,J24&lt;C24),"Pending",IF(D24=0,IF(F24&gt;0,"Win","Neutral"),IF(F24&gt;=D24*(1+'How to use'!$C$15),"Win",IF(F24&lt;=D24*(1+'How to use'!$C$16),"Loss","Neutral")))))</f>
        <v/>
      </c>
    </row>
    <row r="25" customFormat="false" ht="15" hidden="false" customHeight="false" outlineLevel="0" collapsed="false">
      <c r="A25" s="9"/>
      <c r="B25" s="9"/>
      <c r="C25" s="38" t="str">
        <f aca="false">IF(A25="","",COUNTIFS(Tracker!$A$6:$A$305,A25,Tracker!$F$6:$F$305,IF(B25="","*",B25)))</f>
        <v/>
      </c>
      <c r="D25" s="39" t="str">
        <f aca="false">IF(A25="","",SUMIFS(Tracker!$H$6:$H$305,Tracker!$A$6:$A$305,A25,Tracker!$F$6:$F$305,IF(B25="","*",B25)))</f>
        <v/>
      </c>
      <c r="E25" s="39" t="str">
        <f aca="false">IF(A25="","",SUMIFS(Tracker!$I$6:$I$305,Tracker!$A$6:$A$305,A25,Tracker!$F$6:$F$305,IF(B25="","*",B25)))</f>
        <v/>
      </c>
      <c r="F25" s="39" t="str">
        <f aca="false">IF(OR(A25="",J25=0),"",SUMIFS(Tracker!$AA$6:$AA$305,Tracker!$A$6:$A$305,A25,Tracker!$F$6:$F$305,IF(B25="","*",B25)))</f>
        <v/>
      </c>
      <c r="G25" s="39" t="str">
        <f aca="false">IF(OR(A25="",J25=0),"",SUMIFS(Tracker!$AB$6:$AB$305,Tracker!$A$6:$A$305,A25,Tracker!$F$6:$F$305,IF(B25="","*",B25)))</f>
        <v/>
      </c>
      <c r="H25" s="40" t="str">
        <f aca="false">IF(OR(F25="",D25="",D25=0),"",F25/D25-1)</f>
        <v/>
      </c>
      <c r="I25" s="40" t="str">
        <f aca="false">IF(OR(G25="",E25="",E25=0),"",G25/E25-1)</f>
        <v/>
      </c>
      <c r="J25" s="38" t="str">
        <f aca="false">IF(A25="","",COUNTIFS(Tracker!$A$6:$A$305,A25,Tracker!$F$6:$F$305,IF(B25="","*",B25),Tracker!$AA$6:$AA$305,"&lt;&gt;"))</f>
        <v/>
      </c>
      <c r="K25" s="41" t="str">
        <f aca="false">IF(A25="","",IF(OR(J25=0,J25&lt;C25),"Pending",IF(D25=0,IF(F25&gt;0,"Win","Neutral"),IF(F25&gt;=D25*(1+'How to use'!$C$15),"Win",IF(F25&lt;=D25*(1+'How to use'!$C$16),"Loss","Neutral")))))</f>
        <v/>
      </c>
    </row>
    <row r="26" customFormat="false" ht="15" hidden="false" customHeight="false" outlineLevel="0" collapsed="false">
      <c r="A26" s="9"/>
      <c r="B26" s="9"/>
      <c r="C26" s="38" t="str">
        <f aca="false">IF(A26="","",COUNTIFS(Tracker!$A$6:$A$305,A26,Tracker!$F$6:$F$305,IF(B26="","*",B26)))</f>
        <v/>
      </c>
      <c r="D26" s="39" t="str">
        <f aca="false">IF(A26="","",SUMIFS(Tracker!$H$6:$H$305,Tracker!$A$6:$A$305,A26,Tracker!$F$6:$F$305,IF(B26="","*",B26)))</f>
        <v/>
      </c>
      <c r="E26" s="39" t="str">
        <f aca="false">IF(A26="","",SUMIFS(Tracker!$I$6:$I$305,Tracker!$A$6:$A$305,A26,Tracker!$F$6:$F$305,IF(B26="","*",B26)))</f>
        <v/>
      </c>
      <c r="F26" s="39" t="str">
        <f aca="false">IF(OR(A26="",J26=0),"",SUMIFS(Tracker!$AA$6:$AA$305,Tracker!$A$6:$A$305,A26,Tracker!$F$6:$F$305,IF(B26="","*",B26)))</f>
        <v/>
      </c>
      <c r="G26" s="39" t="str">
        <f aca="false">IF(OR(A26="",J26=0),"",SUMIFS(Tracker!$AB$6:$AB$305,Tracker!$A$6:$A$305,A26,Tracker!$F$6:$F$305,IF(B26="","*",B26)))</f>
        <v/>
      </c>
      <c r="H26" s="40" t="str">
        <f aca="false">IF(OR(F26="",D26="",D26=0),"",F26/D26-1)</f>
        <v/>
      </c>
      <c r="I26" s="40" t="str">
        <f aca="false">IF(OR(G26="",E26="",E26=0),"",G26/E26-1)</f>
        <v/>
      </c>
      <c r="J26" s="38" t="str">
        <f aca="false">IF(A26="","",COUNTIFS(Tracker!$A$6:$A$305,A26,Tracker!$F$6:$F$305,IF(B26="","*",B26),Tracker!$AA$6:$AA$305,"&lt;&gt;"))</f>
        <v/>
      </c>
      <c r="K26" s="41" t="str">
        <f aca="false">IF(A26="","",IF(OR(J26=0,J26&lt;C26),"Pending",IF(D26=0,IF(F26&gt;0,"Win","Neutral"),IF(F26&gt;=D26*(1+'How to use'!$C$15),"Win",IF(F26&lt;=D26*(1+'How to use'!$C$16),"Loss","Neutral")))))</f>
        <v/>
      </c>
    </row>
    <row r="27" customFormat="false" ht="15" hidden="false" customHeight="false" outlineLevel="0" collapsed="false">
      <c r="A27" s="9"/>
      <c r="B27" s="9"/>
      <c r="C27" s="38" t="str">
        <f aca="false">IF(A27="","",COUNTIFS(Tracker!$A$6:$A$305,A27,Tracker!$F$6:$F$305,IF(B27="","*",B27)))</f>
        <v/>
      </c>
      <c r="D27" s="39" t="str">
        <f aca="false">IF(A27="","",SUMIFS(Tracker!$H$6:$H$305,Tracker!$A$6:$A$305,A27,Tracker!$F$6:$F$305,IF(B27="","*",B27)))</f>
        <v/>
      </c>
      <c r="E27" s="39" t="str">
        <f aca="false">IF(A27="","",SUMIFS(Tracker!$I$6:$I$305,Tracker!$A$6:$A$305,A27,Tracker!$F$6:$F$305,IF(B27="","*",B27)))</f>
        <v/>
      </c>
      <c r="F27" s="39" t="str">
        <f aca="false">IF(OR(A27="",J27=0),"",SUMIFS(Tracker!$AA$6:$AA$305,Tracker!$A$6:$A$305,A27,Tracker!$F$6:$F$305,IF(B27="","*",B27)))</f>
        <v/>
      </c>
      <c r="G27" s="39" t="str">
        <f aca="false">IF(OR(A27="",J27=0),"",SUMIFS(Tracker!$AB$6:$AB$305,Tracker!$A$6:$A$305,A27,Tracker!$F$6:$F$305,IF(B27="","*",B27)))</f>
        <v/>
      </c>
      <c r="H27" s="40" t="str">
        <f aca="false">IF(OR(F27="",D27="",D27=0),"",F27/D27-1)</f>
        <v/>
      </c>
      <c r="I27" s="40" t="str">
        <f aca="false">IF(OR(G27="",E27="",E27=0),"",G27/E27-1)</f>
        <v/>
      </c>
      <c r="J27" s="38" t="str">
        <f aca="false">IF(A27="","",COUNTIFS(Tracker!$A$6:$A$305,A27,Tracker!$F$6:$F$305,IF(B27="","*",B27),Tracker!$AA$6:$AA$305,"&lt;&gt;"))</f>
        <v/>
      </c>
      <c r="K27" s="41" t="str">
        <f aca="false">IF(A27="","",IF(OR(J27=0,J27&lt;C27),"Pending",IF(D27=0,IF(F27&gt;0,"Win","Neutral"),IF(F27&gt;=D27*(1+'How to use'!$C$15),"Win",IF(F27&lt;=D27*(1+'How to use'!$C$16),"Loss","Neutral")))))</f>
        <v/>
      </c>
    </row>
    <row r="28" customFormat="false" ht="15" hidden="false" customHeight="false" outlineLevel="0" collapsed="false">
      <c r="A28" s="9"/>
      <c r="B28" s="9"/>
      <c r="C28" s="38" t="str">
        <f aca="false">IF(A28="","",COUNTIFS(Tracker!$A$6:$A$305,A28,Tracker!$F$6:$F$305,IF(B28="","*",B28)))</f>
        <v/>
      </c>
      <c r="D28" s="39" t="str">
        <f aca="false">IF(A28="","",SUMIFS(Tracker!$H$6:$H$305,Tracker!$A$6:$A$305,A28,Tracker!$F$6:$F$305,IF(B28="","*",B28)))</f>
        <v/>
      </c>
      <c r="E28" s="39" t="str">
        <f aca="false">IF(A28="","",SUMIFS(Tracker!$I$6:$I$305,Tracker!$A$6:$A$305,A28,Tracker!$F$6:$F$305,IF(B28="","*",B28)))</f>
        <v/>
      </c>
      <c r="F28" s="39" t="str">
        <f aca="false">IF(OR(A28="",J28=0),"",SUMIFS(Tracker!$AA$6:$AA$305,Tracker!$A$6:$A$305,A28,Tracker!$F$6:$F$305,IF(B28="","*",B28)))</f>
        <v/>
      </c>
      <c r="G28" s="39" t="str">
        <f aca="false">IF(OR(A28="",J28=0),"",SUMIFS(Tracker!$AB$6:$AB$305,Tracker!$A$6:$A$305,A28,Tracker!$F$6:$F$305,IF(B28="","*",B28)))</f>
        <v/>
      </c>
      <c r="H28" s="40" t="str">
        <f aca="false">IF(OR(F28="",D28="",D28=0),"",F28/D28-1)</f>
        <v/>
      </c>
      <c r="I28" s="40" t="str">
        <f aca="false">IF(OR(G28="",E28="",E28=0),"",G28/E28-1)</f>
        <v/>
      </c>
      <c r="J28" s="38" t="str">
        <f aca="false">IF(A28="","",COUNTIFS(Tracker!$A$6:$A$305,A28,Tracker!$F$6:$F$305,IF(B28="","*",B28),Tracker!$AA$6:$AA$305,"&lt;&gt;"))</f>
        <v/>
      </c>
      <c r="K28" s="41" t="str">
        <f aca="false">IF(A28="","",IF(OR(J28=0,J28&lt;C28),"Pending",IF(D28=0,IF(F28&gt;0,"Win","Neutral"),IF(F28&gt;=D28*(1+'How to use'!$C$15),"Win",IF(F28&lt;=D28*(1+'How to use'!$C$16),"Loss","Neutral")))))</f>
        <v/>
      </c>
    </row>
    <row r="29" customFormat="false" ht="15" hidden="false" customHeight="false" outlineLevel="0" collapsed="false">
      <c r="A29" s="9"/>
      <c r="B29" s="9"/>
      <c r="C29" s="38" t="str">
        <f aca="false">IF(A29="","",COUNTIFS(Tracker!$A$6:$A$305,A29,Tracker!$F$6:$F$305,IF(B29="","*",B29)))</f>
        <v/>
      </c>
      <c r="D29" s="39" t="str">
        <f aca="false">IF(A29="","",SUMIFS(Tracker!$H$6:$H$305,Tracker!$A$6:$A$305,A29,Tracker!$F$6:$F$305,IF(B29="","*",B29)))</f>
        <v/>
      </c>
      <c r="E29" s="39" t="str">
        <f aca="false">IF(A29="","",SUMIFS(Tracker!$I$6:$I$305,Tracker!$A$6:$A$305,A29,Tracker!$F$6:$F$305,IF(B29="","*",B29)))</f>
        <v/>
      </c>
      <c r="F29" s="39" t="str">
        <f aca="false">IF(OR(A29="",J29=0),"",SUMIFS(Tracker!$AA$6:$AA$305,Tracker!$A$6:$A$305,A29,Tracker!$F$6:$F$305,IF(B29="","*",B29)))</f>
        <v/>
      </c>
      <c r="G29" s="39" t="str">
        <f aca="false">IF(OR(A29="",J29=0),"",SUMIFS(Tracker!$AB$6:$AB$305,Tracker!$A$6:$A$305,A29,Tracker!$F$6:$F$305,IF(B29="","*",B29)))</f>
        <v/>
      </c>
      <c r="H29" s="40" t="str">
        <f aca="false">IF(OR(F29="",D29="",D29=0),"",F29/D29-1)</f>
        <v/>
      </c>
      <c r="I29" s="40" t="str">
        <f aca="false">IF(OR(G29="",E29="",E29=0),"",G29/E29-1)</f>
        <v/>
      </c>
      <c r="J29" s="38" t="str">
        <f aca="false">IF(A29="","",COUNTIFS(Tracker!$A$6:$A$305,A29,Tracker!$F$6:$F$305,IF(B29="","*",B29),Tracker!$AA$6:$AA$305,"&lt;&gt;"))</f>
        <v/>
      </c>
      <c r="K29" s="41" t="str">
        <f aca="false">IF(A29="","",IF(OR(J29=0,J29&lt;C29),"Pending",IF(D29=0,IF(F29&gt;0,"Win","Neutral"),IF(F29&gt;=D29*(1+'How to use'!$C$15),"Win",IF(F29&lt;=D29*(1+'How to use'!$C$16),"Loss","Neutral")))))</f>
        <v/>
      </c>
    </row>
    <row r="30" customFormat="false" ht="15" hidden="false" customHeight="false" outlineLevel="0" collapsed="false">
      <c r="A30" s="9"/>
      <c r="B30" s="9"/>
      <c r="C30" s="38" t="str">
        <f aca="false">IF(A30="","",COUNTIFS(Tracker!$A$6:$A$305,A30,Tracker!$F$6:$F$305,IF(B30="","*",B30)))</f>
        <v/>
      </c>
      <c r="D30" s="39" t="str">
        <f aca="false">IF(A30="","",SUMIFS(Tracker!$H$6:$H$305,Tracker!$A$6:$A$305,A30,Tracker!$F$6:$F$305,IF(B30="","*",B30)))</f>
        <v/>
      </c>
      <c r="E30" s="39" t="str">
        <f aca="false">IF(A30="","",SUMIFS(Tracker!$I$6:$I$305,Tracker!$A$6:$A$305,A30,Tracker!$F$6:$F$305,IF(B30="","*",B30)))</f>
        <v/>
      </c>
      <c r="F30" s="39" t="str">
        <f aca="false">IF(OR(A30="",J30=0),"",SUMIFS(Tracker!$AA$6:$AA$305,Tracker!$A$6:$A$305,A30,Tracker!$F$6:$F$305,IF(B30="","*",B30)))</f>
        <v/>
      </c>
      <c r="G30" s="39" t="str">
        <f aca="false">IF(OR(A30="",J30=0),"",SUMIFS(Tracker!$AB$6:$AB$305,Tracker!$A$6:$A$305,A30,Tracker!$F$6:$F$305,IF(B30="","*",B30)))</f>
        <v/>
      </c>
      <c r="H30" s="40" t="str">
        <f aca="false">IF(OR(F30="",D30="",D30=0),"",F30/D30-1)</f>
        <v/>
      </c>
      <c r="I30" s="40" t="str">
        <f aca="false">IF(OR(G30="",E30="",E30=0),"",G30/E30-1)</f>
        <v/>
      </c>
      <c r="J30" s="38" t="str">
        <f aca="false">IF(A30="","",COUNTIFS(Tracker!$A$6:$A$305,A30,Tracker!$F$6:$F$305,IF(B30="","*",B30),Tracker!$AA$6:$AA$305,"&lt;&gt;"))</f>
        <v/>
      </c>
      <c r="K30" s="41" t="str">
        <f aca="false">IF(A30="","",IF(OR(J30=0,J30&lt;C30),"Pending",IF(D30=0,IF(F30&gt;0,"Win","Neutral"),IF(F30&gt;=D30*(1+'How to use'!$C$15),"Win",IF(F30&lt;=D30*(1+'How to use'!$C$16),"Loss","Neutral")))))</f>
        <v/>
      </c>
    </row>
    <row r="31" customFormat="false" ht="15" hidden="false" customHeight="false" outlineLevel="0" collapsed="false">
      <c r="A31" s="9"/>
      <c r="B31" s="9"/>
      <c r="C31" s="38" t="str">
        <f aca="false">IF(A31="","",COUNTIFS(Tracker!$A$6:$A$305,A31,Tracker!$F$6:$F$305,IF(B31="","*",B31)))</f>
        <v/>
      </c>
      <c r="D31" s="39" t="str">
        <f aca="false">IF(A31="","",SUMIFS(Tracker!$H$6:$H$305,Tracker!$A$6:$A$305,A31,Tracker!$F$6:$F$305,IF(B31="","*",B31)))</f>
        <v/>
      </c>
      <c r="E31" s="39" t="str">
        <f aca="false">IF(A31="","",SUMIFS(Tracker!$I$6:$I$305,Tracker!$A$6:$A$305,A31,Tracker!$F$6:$F$305,IF(B31="","*",B31)))</f>
        <v/>
      </c>
      <c r="F31" s="39" t="str">
        <f aca="false">IF(OR(A31="",J31=0),"",SUMIFS(Tracker!$AA$6:$AA$305,Tracker!$A$6:$A$305,A31,Tracker!$F$6:$F$305,IF(B31="","*",B31)))</f>
        <v/>
      </c>
      <c r="G31" s="39" t="str">
        <f aca="false">IF(OR(A31="",J31=0),"",SUMIFS(Tracker!$AB$6:$AB$305,Tracker!$A$6:$A$305,A31,Tracker!$F$6:$F$305,IF(B31="","*",B31)))</f>
        <v/>
      </c>
      <c r="H31" s="40" t="str">
        <f aca="false">IF(OR(F31="",D31="",D31=0),"",F31/D31-1)</f>
        <v/>
      </c>
      <c r="I31" s="40" t="str">
        <f aca="false">IF(OR(G31="",E31="",E31=0),"",G31/E31-1)</f>
        <v/>
      </c>
      <c r="J31" s="38" t="str">
        <f aca="false">IF(A31="","",COUNTIFS(Tracker!$A$6:$A$305,A31,Tracker!$F$6:$F$305,IF(B31="","*",B31),Tracker!$AA$6:$AA$305,"&lt;&gt;"))</f>
        <v/>
      </c>
      <c r="K31" s="41" t="str">
        <f aca="false">IF(A31="","",IF(OR(J31=0,J31&lt;C31),"Pending",IF(D31=0,IF(F31&gt;0,"Win","Neutral"),IF(F31&gt;=D31*(1+'How to use'!$C$15),"Win",IF(F31&lt;=D31*(1+'How to use'!$C$16),"Loss","Neutral")))))</f>
        <v/>
      </c>
    </row>
    <row r="32" customFormat="false" ht="15" hidden="false" customHeight="false" outlineLevel="0" collapsed="false">
      <c r="A32" s="9"/>
      <c r="B32" s="9"/>
      <c r="C32" s="38" t="str">
        <f aca="false">IF(A32="","",COUNTIFS(Tracker!$A$6:$A$305,A32,Tracker!$F$6:$F$305,IF(B32="","*",B32)))</f>
        <v/>
      </c>
      <c r="D32" s="39" t="str">
        <f aca="false">IF(A32="","",SUMIFS(Tracker!$H$6:$H$305,Tracker!$A$6:$A$305,A32,Tracker!$F$6:$F$305,IF(B32="","*",B32)))</f>
        <v/>
      </c>
      <c r="E32" s="39" t="str">
        <f aca="false">IF(A32="","",SUMIFS(Tracker!$I$6:$I$305,Tracker!$A$6:$A$305,A32,Tracker!$F$6:$F$305,IF(B32="","*",B32)))</f>
        <v/>
      </c>
      <c r="F32" s="39" t="str">
        <f aca="false">IF(OR(A32="",J32=0),"",SUMIFS(Tracker!$AA$6:$AA$305,Tracker!$A$6:$A$305,A32,Tracker!$F$6:$F$305,IF(B32="","*",B32)))</f>
        <v/>
      </c>
      <c r="G32" s="39" t="str">
        <f aca="false">IF(OR(A32="",J32=0),"",SUMIFS(Tracker!$AB$6:$AB$305,Tracker!$A$6:$A$305,A32,Tracker!$F$6:$F$305,IF(B32="","*",B32)))</f>
        <v/>
      </c>
      <c r="H32" s="40" t="str">
        <f aca="false">IF(OR(F32="",D32="",D32=0),"",F32/D32-1)</f>
        <v/>
      </c>
      <c r="I32" s="40" t="str">
        <f aca="false">IF(OR(G32="",E32="",E32=0),"",G32/E32-1)</f>
        <v/>
      </c>
      <c r="J32" s="38" t="str">
        <f aca="false">IF(A32="","",COUNTIFS(Tracker!$A$6:$A$305,A32,Tracker!$F$6:$F$305,IF(B32="","*",B32),Tracker!$AA$6:$AA$305,"&lt;&gt;"))</f>
        <v/>
      </c>
      <c r="K32" s="41" t="str">
        <f aca="false">IF(A32="","",IF(OR(J32=0,J32&lt;C32),"Pending",IF(D32=0,IF(F32&gt;0,"Win","Neutral"),IF(F32&gt;=D32*(1+'How to use'!$C$15),"Win",IF(F32&lt;=D32*(1+'How to use'!$C$16),"Loss","Neutral")))))</f>
        <v/>
      </c>
    </row>
    <row r="33" customFormat="false" ht="15" hidden="false" customHeight="false" outlineLevel="0" collapsed="false">
      <c r="A33" s="9"/>
      <c r="B33" s="9"/>
      <c r="C33" s="38" t="str">
        <f aca="false">IF(A33="","",COUNTIFS(Tracker!$A$6:$A$305,A33,Tracker!$F$6:$F$305,IF(B33="","*",B33)))</f>
        <v/>
      </c>
      <c r="D33" s="39" t="str">
        <f aca="false">IF(A33="","",SUMIFS(Tracker!$H$6:$H$305,Tracker!$A$6:$A$305,A33,Tracker!$F$6:$F$305,IF(B33="","*",B33)))</f>
        <v/>
      </c>
      <c r="E33" s="39" t="str">
        <f aca="false">IF(A33="","",SUMIFS(Tracker!$I$6:$I$305,Tracker!$A$6:$A$305,A33,Tracker!$F$6:$F$305,IF(B33="","*",B33)))</f>
        <v/>
      </c>
      <c r="F33" s="39" t="str">
        <f aca="false">IF(OR(A33="",J33=0),"",SUMIFS(Tracker!$AA$6:$AA$305,Tracker!$A$6:$A$305,A33,Tracker!$F$6:$F$305,IF(B33="","*",B33)))</f>
        <v/>
      </c>
      <c r="G33" s="39" t="str">
        <f aca="false">IF(OR(A33="",J33=0),"",SUMIFS(Tracker!$AB$6:$AB$305,Tracker!$A$6:$A$305,A33,Tracker!$F$6:$F$305,IF(B33="","*",B33)))</f>
        <v/>
      </c>
      <c r="H33" s="40" t="str">
        <f aca="false">IF(OR(F33="",D33="",D33=0),"",F33/D33-1)</f>
        <v/>
      </c>
      <c r="I33" s="40" t="str">
        <f aca="false">IF(OR(G33="",E33="",E33=0),"",G33/E33-1)</f>
        <v/>
      </c>
      <c r="J33" s="38" t="str">
        <f aca="false">IF(A33="","",COUNTIFS(Tracker!$A$6:$A$305,A33,Tracker!$F$6:$F$305,IF(B33="","*",B33),Tracker!$AA$6:$AA$305,"&lt;&gt;"))</f>
        <v/>
      </c>
      <c r="K33" s="41" t="str">
        <f aca="false">IF(A33="","",IF(OR(J33=0,J33&lt;C33),"Pending",IF(D33=0,IF(F33&gt;0,"Win","Neutral"),IF(F33&gt;=D33*(1+'How to use'!$C$15),"Win",IF(F33&lt;=D33*(1+'How to use'!$C$16),"Loss","Neutral")))))</f>
        <v/>
      </c>
    </row>
    <row r="34" customFormat="false" ht="15" hidden="false" customHeight="false" outlineLevel="0" collapsed="false">
      <c r="A34" s="9"/>
      <c r="B34" s="9"/>
      <c r="C34" s="38" t="str">
        <f aca="false">IF(A34="","",COUNTIFS(Tracker!$A$6:$A$305,A34,Tracker!$F$6:$F$305,IF(B34="","*",B34)))</f>
        <v/>
      </c>
      <c r="D34" s="39" t="str">
        <f aca="false">IF(A34="","",SUMIFS(Tracker!$H$6:$H$305,Tracker!$A$6:$A$305,A34,Tracker!$F$6:$F$305,IF(B34="","*",B34)))</f>
        <v/>
      </c>
      <c r="E34" s="39" t="str">
        <f aca="false">IF(A34="","",SUMIFS(Tracker!$I$6:$I$305,Tracker!$A$6:$A$305,A34,Tracker!$F$6:$F$305,IF(B34="","*",B34)))</f>
        <v/>
      </c>
      <c r="F34" s="39" t="str">
        <f aca="false">IF(OR(A34="",J34=0),"",SUMIFS(Tracker!$AA$6:$AA$305,Tracker!$A$6:$A$305,A34,Tracker!$F$6:$F$305,IF(B34="","*",B34)))</f>
        <v/>
      </c>
      <c r="G34" s="39" t="str">
        <f aca="false">IF(OR(A34="",J34=0),"",SUMIFS(Tracker!$AB$6:$AB$305,Tracker!$A$6:$A$305,A34,Tracker!$F$6:$F$305,IF(B34="","*",B34)))</f>
        <v/>
      </c>
      <c r="H34" s="40" t="str">
        <f aca="false">IF(OR(F34="",D34="",D34=0),"",F34/D34-1)</f>
        <v/>
      </c>
      <c r="I34" s="40" t="str">
        <f aca="false">IF(OR(G34="",E34="",E34=0),"",G34/E34-1)</f>
        <v/>
      </c>
      <c r="J34" s="38" t="str">
        <f aca="false">IF(A34="","",COUNTIFS(Tracker!$A$6:$A$305,A34,Tracker!$F$6:$F$305,IF(B34="","*",B34),Tracker!$AA$6:$AA$305,"&lt;&gt;"))</f>
        <v/>
      </c>
      <c r="K34" s="41" t="str">
        <f aca="false">IF(A34="","",IF(OR(J34=0,J34&lt;C34),"Pending",IF(D34=0,IF(F34&gt;0,"Win","Neutral"),IF(F34&gt;=D34*(1+'How to use'!$C$15),"Win",IF(F34&lt;=D34*(1+'How to use'!$C$16),"Loss","Neutral")))))</f>
        <v/>
      </c>
    </row>
    <row r="35" customFormat="false" ht="15" hidden="false" customHeight="false" outlineLevel="0" collapsed="false">
      <c r="A35" s="9"/>
      <c r="B35" s="9"/>
      <c r="C35" s="38" t="str">
        <f aca="false">IF(A35="","",COUNTIFS(Tracker!$A$6:$A$305,A35,Tracker!$F$6:$F$305,IF(B35="","*",B35)))</f>
        <v/>
      </c>
      <c r="D35" s="39" t="str">
        <f aca="false">IF(A35="","",SUMIFS(Tracker!$H$6:$H$305,Tracker!$A$6:$A$305,A35,Tracker!$F$6:$F$305,IF(B35="","*",B35)))</f>
        <v/>
      </c>
      <c r="E35" s="39" t="str">
        <f aca="false">IF(A35="","",SUMIFS(Tracker!$I$6:$I$305,Tracker!$A$6:$A$305,A35,Tracker!$F$6:$F$305,IF(B35="","*",B35)))</f>
        <v/>
      </c>
      <c r="F35" s="39" t="str">
        <f aca="false">IF(OR(A35="",J35=0),"",SUMIFS(Tracker!$AA$6:$AA$305,Tracker!$A$6:$A$305,A35,Tracker!$F$6:$F$305,IF(B35="","*",B35)))</f>
        <v/>
      </c>
      <c r="G35" s="39" t="str">
        <f aca="false">IF(OR(A35="",J35=0),"",SUMIFS(Tracker!$AB$6:$AB$305,Tracker!$A$6:$A$305,A35,Tracker!$F$6:$F$305,IF(B35="","*",B35)))</f>
        <v/>
      </c>
      <c r="H35" s="40" t="str">
        <f aca="false">IF(OR(F35="",D35="",D35=0),"",F35/D35-1)</f>
        <v/>
      </c>
      <c r="I35" s="40" t="str">
        <f aca="false">IF(OR(G35="",E35="",E35=0),"",G35/E35-1)</f>
        <v/>
      </c>
      <c r="J35" s="38" t="str">
        <f aca="false">IF(A35="","",COUNTIFS(Tracker!$A$6:$A$305,A35,Tracker!$F$6:$F$305,IF(B35="","*",B35),Tracker!$AA$6:$AA$305,"&lt;&gt;"))</f>
        <v/>
      </c>
      <c r="K35" s="41" t="str">
        <f aca="false">IF(A35="","",IF(OR(J35=0,J35&lt;C35),"Pending",IF(D35=0,IF(F35&gt;0,"Win","Neutral"),IF(F35&gt;=D35*(1+'How to use'!$C$15),"Win",IF(F35&lt;=D35*(1+'How to use'!$C$16),"Loss","Neutral")))))</f>
        <v/>
      </c>
    </row>
    <row r="36" customFormat="false" ht="15" hidden="false" customHeight="false" outlineLevel="0" collapsed="false">
      <c r="A36" s="9"/>
      <c r="B36" s="9"/>
      <c r="C36" s="38" t="str">
        <f aca="false">IF(A36="","",COUNTIFS(Tracker!$A$6:$A$305,A36,Tracker!$F$6:$F$305,IF(B36="","*",B36)))</f>
        <v/>
      </c>
      <c r="D36" s="39" t="str">
        <f aca="false">IF(A36="","",SUMIFS(Tracker!$H$6:$H$305,Tracker!$A$6:$A$305,A36,Tracker!$F$6:$F$305,IF(B36="","*",B36)))</f>
        <v/>
      </c>
      <c r="E36" s="39" t="str">
        <f aca="false">IF(A36="","",SUMIFS(Tracker!$I$6:$I$305,Tracker!$A$6:$A$305,A36,Tracker!$F$6:$F$305,IF(B36="","*",B36)))</f>
        <v/>
      </c>
      <c r="F36" s="39" t="str">
        <f aca="false">IF(OR(A36="",J36=0),"",SUMIFS(Tracker!$AA$6:$AA$305,Tracker!$A$6:$A$305,A36,Tracker!$F$6:$F$305,IF(B36="","*",B36)))</f>
        <v/>
      </c>
      <c r="G36" s="39" t="str">
        <f aca="false">IF(OR(A36="",J36=0),"",SUMIFS(Tracker!$AB$6:$AB$305,Tracker!$A$6:$A$305,A36,Tracker!$F$6:$F$305,IF(B36="","*",B36)))</f>
        <v/>
      </c>
      <c r="H36" s="40" t="str">
        <f aca="false">IF(OR(F36="",D36="",D36=0),"",F36/D36-1)</f>
        <v/>
      </c>
      <c r="I36" s="40" t="str">
        <f aca="false">IF(OR(G36="",E36="",E36=0),"",G36/E36-1)</f>
        <v/>
      </c>
      <c r="J36" s="38" t="str">
        <f aca="false">IF(A36="","",COUNTIFS(Tracker!$A$6:$A$305,A36,Tracker!$F$6:$F$305,IF(B36="","*",B36),Tracker!$AA$6:$AA$305,"&lt;&gt;"))</f>
        <v/>
      </c>
      <c r="K36" s="41" t="str">
        <f aca="false">IF(A36="","",IF(OR(J36=0,J36&lt;C36),"Pending",IF(D36=0,IF(F36&gt;0,"Win","Neutral"),IF(F36&gt;=D36*(1+'How to use'!$C$15),"Win",IF(F36&lt;=D36*(1+'How to use'!$C$16),"Loss","Neutral")))))</f>
        <v/>
      </c>
    </row>
    <row r="37" customFormat="false" ht="15" hidden="false" customHeight="false" outlineLevel="0" collapsed="false">
      <c r="A37" s="9"/>
      <c r="B37" s="9"/>
      <c r="C37" s="38" t="str">
        <f aca="false">IF(A37="","",COUNTIFS(Tracker!$A$6:$A$305,A37,Tracker!$F$6:$F$305,IF(B37="","*",B37)))</f>
        <v/>
      </c>
      <c r="D37" s="39" t="str">
        <f aca="false">IF(A37="","",SUMIFS(Tracker!$H$6:$H$305,Tracker!$A$6:$A$305,A37,Tracker!$F$6:$F$305,IF(B37="","*",B37)))</f>
        <v/>
      </c>
      <c r="E37" s="39" t="str">
        <f aca="false">IF(A37="","",SUMIFS(Tracker!$I$6:$I$305,Tracker!$A$6:$A$305,A37,Tracker!$F$6:$F$305,IF(B37="","*",B37)))</f>
        <v/>
      </c>
      <c r="F37" s="39" t="str">
        <f aca="false">IF(OR(A37="",J37=0),"",SUMIFS(Tracker!$AA$6:$AA$305,Tracker!$A$6:$A$305,A37,Tracker!$F$6:$F$305,IF(B37="","*",B37)))</f>
        <v/>
      </c>
      <c r="G37" s="39" t="str">
        <f aca="false">IF(OR(A37="",J37=0),"",SUMIFS(Tracker!$AB$6:$AB$305,Tracker!$A$6:$A$305,A37,Tracker!$F$6:$F$305,IF(B37="","*",B37)))</f>
        <v/>
      </c>
      <c r="H37" s="40" t="str">
        <f aca="false">IF(OR(F37="",D37="",D37=0),"",F37/D37-1)</f>
        <v/>
      </c>
      <c r="I37" s="40" t="str">
        <f aca="false">IF(OR(G37="",E37="",E37=0),"",G37/E37-1)</f>
        <v/>
      </c>
      <c r="J37" s="38" t="str">
        <f aca="false">IF(A37="","",COUNTIFS(Tracker!$A$6:$A$305,A37,Tracker!$F$6:$F$305,IF(B37="","*",B37),Tracker!$AA$6:$AA$305,"&lt;&gt;"))</f>
        <v/>
      </c>
      <c r="K37" s="41" t="str">
        <f aca="false">IF(A37="","",IF(OR(J37=0,J37&lt;C37),"Pending",IF(D37=0,IF(F37&gt;0,"Win","Neutral"),IF(F37&gt;=D37*(1+'How to use'!$C$15),"Win",IF(F37&lt;=D37*(1+'How to use'!$C$16),"Loss","Neutral")))))</f>
        <v/>
      </c>
    </row>
    <row r="38" customFormat="false" ht="15" hidden="false" customHeight="false" outlineLevel="0" collapsed="false">
      <c r="A38" s="9"/>
      <c r="B38" s="9"/>
      <c r="C38" s="38" t="str">
        <f aca="false">IF(A38="","",COUNTIFS(Tracker!$A$6:$A$305,A38,Tracker!$F$6:$F$305,IF(B38="","*",B38)))</f>
        <v/>
      </c>
      <c r="D38" s="39" t="str">
        <f aca="false">IF(A38="","",SUMIFS(Tracker!$H$6:$H$305,Tracker!$A$6:$A$305,A38,Tracker!$F$6:$F$305,IF(B38="","*",B38)))</f>
        <v/>
      </c>
      <c r="E38" s="39" t="str">
        <f aca="false">IF(A38="","",SUMIFS(Tracker!$I$6:$I$305,Tracker!$A$6:$A$305,A38,Tracker!$F$6:$F$305,IF(B38="","*",B38)))</f>
        <v/>
      </c>
      <c r="F38" s="39" t="str">
        <f aca="false">IF(OR(A38="",J38=0),"",SUMIFS(Tracker!$AA$6:$AA$305,Tracker!$A$6:$A$305,A38,Tracker!$F$6:$F$305,IF(B38="","*",B38)))</f>
        <v/>
      </c>
      <c r="G38" s="39" t="str">
        <f aca="false">IF(OR(A38="",J38=0),"",SUMIFS(Tracker!$AB$6:$AB$305,Tracker!$A$6:$A$305,A38,Tracker!$F$6:$F$305,IF(B38="","*",B38)))</f>
        <v/>
      </c>
      <c r="H38" s="40" t="str">
        <f aca="false">IF(OR(F38="",D38="",D38=0),"",F38/D38-1)</f>
        <v/>
      </c>
      <c r="I38" s="40" t="str">
        <f aca="false">IF(OR(G38="",E38="",E38=0),"",G38/E38-1)</f>
        <v/>
      </c>
      <c r="J38" s="38" t="str">
        <f aca="false">IF(A38="","",COUNTIFS(Tracker!$A$6:$A$305,A38,Tracker!$F$6:$F$305,IF(B38="","*",B38),Tracker!$AA$6:$AA$305,"&lt;&gt;"))</f>
        <v/>
      </c>
      <c r="K38" s="41" t="str">
        <f aca="false">IF(A38="","",IF(OR(J38=0,J38&lt;C38),"Pending",IF(D38=0,IF(F38&gt;0,"Win","Neutral"),IF(F38&gt;=D38*(1+'How to use'!$C$15),"Win",IF(F38&lt;=D38*(1+'How to use'!$C$16),"Loss","Neutral")))))</f>
        <v/>
      </c>
    </row>
    <row r="39" customFormat="false" ht="15" hidden="false" customHeight="false" outlineLevel="0" collapsed="false">
      <c r="A39" s="9"/>
      <c r="B39" s="9"/>
      <c r="C39" s="38" t="str">
        <f aca="false">IF(A39="","",COUNTIFS(Tracker!$A$6:$A$305,A39,Tracker!$F$6:$F$305,IF(B39="","*",B39)))</f>
        <v/>
      </c>
      <c r="D39" s="39" t="str">
        <f aca="false">IF(A39="","",SUMIFS(Tracker!$H$6:$H$305,Tracker!$A$6:$A$305,A39,Tracker!$F$6:$F$305,IF(B39="","*",B39)))</f>
        <v/>
      </c>
      <c r="E39" s="39" t="str">
        <f aca="false">IF(A39="","",SUMIFS(Tracker!$I$6:$I$305,Tracker!$A$6:$A$305,A39,Tracker!$F$6:$F$305,IF(B39="","*",B39)))</f>
        <v/>
      </c>
      <c r="F39" s="39" t="str">
        <f aca="false">IF(OR(A39="",J39=0),"",SUMIFS(Tracker!$AA$6:$AA$305,Tracker!$A$6:$A$305,A39,Tracker!$F$6:$F$305,IF(B39="","*",B39)))</f>
        <v/>
      </c>
      <c r="G39" s="39" t="str">
        <f aca="false">IF(OR(A39="",J39=0),"",SUMIFS(Tracker!$AB$6:$AB$305,Tracker!$A$6:$A$305,A39,Tracker!$F$6:$F$305,IF(B39="","*",B39)))</f>
        <v/>
      </c>
      <c r="H39" s="40" t="str">
        <f aca="false">IF(OR(F39="",D39="",D39=0),"",F39/D39-1)</f>
        <v/>
      </c>
      <c r="I39" s="40" t="str">
        <f aca="false">IF(OR(G39="",E39="",E39=0),"",G39/E39-1)</f>
        <v/>
      </c>
      <c r="J39" s="38" t="str">
        <f aca="false">IF(A39="","",COUNTIFS(Tracker!$A$6:$A$305,A39,Tracker!$F$6:$F$305,IF(B39="","*",B39),Tracker!$AA$6:$AA$305,"&lt;&gt;"))</f>
        <v/>
      </c>
      <c r="K39" s="41" t="str">
        <f aca="false">IF(A39="","",IF(OR(J39=0,J39&lt;C39),"Pending",IF(D39=0,IF(F39&gt;0,"Win","Neutral"),IF(F39&gt;=D39*(1+'How to use'!$C$15),"Win",IF(F39&lt;=D39*(1+'How to use'!$C$16),"Loss","Neutral")))))</f>
        <v/>
      </c>
    </row>
    <row r="40" customFormat="false" ht="15" hidden="false" customHeight="false" outlineLevel="0" collapsed="false">
      <c r="A40" s="9"/>
      <c r="B40" s="9"/>
      <c r="C40" s="38" t="str">
        <f aca="false">IF(A40="","",COUNTIFS(Tracker!$A$6:$A$305,A40,Tracker!$F$6:$F$305,IF(B40="","*",B40)))</f>
        <v/>
      </c>
      <c r="D40" s="39" t="str">
        <f aca="false">IF(A40="","",SUMIFS(Tracker!$H$6:$H$305,Tracker!$A$6:$A$305,A40,Tracker!$F$6:$F$305,IF(B40="","*",B40)))</f>
        <v/>
      </c>
      <c r="E40" s="39" t="str">
        <f aca="false">IF(A40="","",SUMIFS(Tracker!$I$6:$I$305,Tracker!$A$6:$A$305,A40,Tracker!$F$6:$F$305,IF(B40="","*",B40)))</f>
        <v/>
      </c>
      <c r="F40" s="39" t="str">
        <f aca="false">IF(OR(A40="",J40=0),"",SUMIFS(Tracker!$AA$6:$AA$305,Tracker!$A$6:$A$305,A40,Tracker!$F$6:$F$305,IF(B40="","*",B40)))</f>
        <v/>
      </c>
      <c r="G40" s="39" t="str">
        <f aca="false">IF(OR(A40="",J40=0),"",SUMIFS(Tracker!$AB$6:$AB$305,Tracker!$A$6:$A$305,A40,Tracker!$F$6:$F$305,IF(B40="","*",B40)))</f>
        <v/>
      </c>
      <c r="H40" s="40" t="str">
        <f aca="false">IF(OR(F40="",D40="",D40=0),"",F40/D40-1)</f>
        <v/>
      </c>
      <c r="I40" s="40" t="str">
        <f aca="false">IF(OR(G40="",E40="",E40=0),"",G40/E40-1)</f>
        <v/>
      </c>
      <c r="J40" s="38" t="str">
        <f aca="false">IF(A40="","",COUNTIFS(Tracker!$A$6:$A$305,A40,Tracker!$F$6:$F$305,IF(B40="","*",B40),Tracker!$AA$6:$AA$305,"&lt;&gt;"))</f>
        <v/>
      </c>
      <c r="K40" s="41" t="str">
        <f aca="false">IF(A40="","",IF(OR(J40=0,J40&lt;C40),"Pending",IF(D40=0,IF(F40&gt;0,"Win","Neutral"),IF(F40&gt;=D40*(1+'How to use'!$C$15),"Win",IF(F40&lt;=D40*(1+'How to use'!$C$16),"Loss","Neutral")))))</f>
        <v/>
      </c>
    </row>
    <row r="41" customFormat="false" ht="15" hidden="false" customHeight="false" outlineLevel="0" collapsed="false">
      <c r="A41" s="9"/>
      <c r="B41" s="9"/>
      <c r="C41" s="38" t="str">
        <f aca="false">IF(A41="","",COUNTIFS(Tracker!$A$6:$A$305,A41,Tracker!$F$6:$F$305,IF(B41="","*",B41)))</f>
        <v/>
      </c>
      <c r="D41" s="39" t="str">
        <f aca="false">IF(A41="","",SUMIFS(Tracker!$H$6:$H$305,Tracker!$A$6:$A$305,A41,Tracker!$F$6:$F$305,IF(B41="","*",B41)))</f>
        <v/>
      </c>
      <c r="E41" s="39" t="str">
        <f aca="false">IF(A41="","",SUMIFS(Tracker!$I$6:$I$305,Tracker!$A$6:$A$305,A41,Tracker!$F$6:$F$305,IF(B41="","*",B41)))</f>
        <v/>
      </c>
      <c r="F41" s="39" t="str">
        <f aca="false">IF(OR(A41="",J41=0),"",SUMIFS(Tracker!$AA$6:$AA$305,Tracker!$A$6:$A$305,A41,Tracker!$F$6:$F$305,IF(B41="","*",B41)))</f>
        <v/>
      </c>
      <c r="G41" s="39" t="str">
        <f aca="false">IF(OR(A41="",J41=0),"",SUMIFS(Tracker!$AB$6:$AB$305,Tracker!$A$6:$A$305,A41,Tracker!$F$6:$F$305,IF(B41="","*",B41)))</f>
        <v/>
      </c>
      <c r="H41" s="40" t="str">
        <f aca="false">IF(OR(F41="",D41="",D41=0),"",F41/D41-1)</f>
        <v/>
      </c>
      <c r="I41" s="40" t="str">
        <f aca="false">IF(OR(G41="",E41="",E41=0),"",G41/E41-1)</f>
        <v/>
      </c>
      <c r="J41" s="38" t="str">
        <f aca="false">IF(A41="","",COUNTIFS(Tracker!$A$6:$A$305,A41,Tracker!$F$6:$F$305,IF(B41="","*",B41),Tracker!$AA$6:$AA$305,"&lt;&gt;"))</f>
        <v/>
      </c>
      <c r="K41" s="41" t="str">
        <f aca="false">IF(A41="","",IF(OR(J41=0,J41&lt;C41),"Pending",IF(D41=0,IF(F41&gt;0,"Win","Neutral"),IF(F41&gt;=D41*(1+'How to use'!$C$15),"Win",IF(F41&lt;=D41*(1+'How to use'!$C$16),"Loss","Neutral")))))</f>
        <v/>
      </c>
    </row>
    <row r="42" customFormat="false" ht="15" hidden="false" customHeight="false" outlineLevel="0" collapsed="false">
      <c r="A42" s="9"/>
      <c r="B42" s="9"/>
      <c r="C42" s="38" t="str">
        <f aca="false">IF(A42="","",COUNTIFS(Tracker!$A$6:$A$305,A42,Tracker!$F$6:$F$305,IF(B42="","*",B42)))</f>
        <v/>
      </c>
      <c r="D42" s="39" t="str">
        <f aca="false">IF(A42="","",SUMIFS(Tracker!$H$6:$H$305,Tracker!$A$6:$A$305,A42,Tracker!$F$6:$F$305,IF(B42="","*",B42)))</f>
        <v/>
      </c>
      <c r="E42" s="39" t="str">
        <f aca="false">IF(A42="","",SUMIFS(Tracker!$I$6:$I$305,Tracker!$A$6:$A$305,A42,Tracker!$F$6:$F$305,IF(B42="","*",B42)))</f>
        <v/>
      </c>
      <c r="F42" s="39" t="str">
        <f aca="false">IF(OR(A42="",J42=0),"",SUMIFS(Tracker!$AA$6:$AA$305,Tracker!$A$6:$A$305,A42,Tracker!$F$6:$F$305,IF(B42="","*",B42)))</f>
        <v/>
      </c>
      <c r="G42" s="39" t="str">
        <f aca="false">IF(OR(A42="",J42=0),"",SUMIFS(Tracker!$AB$6:$AB$305,Tracker!$A$6:$A$305,A42,Tracker!$F$6:$F$305,IF(B42="","*",B42)))</f>
        <v/>
      </c>
      <c r="H42" s="40" t="str">
        <f aca="false">IF(OR(F42="",D42="",D42=0),"",F42/D42-1)</f>
        <v/>
      </c>
      <c r="I42" s="40" t="str">
        <f aca="false">IF(OR(G42="",E42="",E42=0),"",G42/E42-1)</f>
        <v/>
      </c>
      <c r="J42" s="38" t="str">
        <f aca="false">IF(A42="","",COUNTIFS(Tracker!$A$6:$A$305,A42,Tracker!$F$6:$F$305,IF(B42="","*",B42),Tracker!$AA$6:$AA$305,"&lt;&gt;"))</f>
        <v/>
      </c>
      <c r="K42" s="41" t="str">
        <f aca="false">IF(A42="","",IF(OR(J42=0,J42&lt;C42),"Pending",IF(D42=0,IF(F42&gt;0,"Win","Neutral"),IF(F42&gt;=D42*(1+'How to use'!$C$15),"Win",IF(F42&lt;=D42*(1+'How to use'!$C$16),"Loss","Neutral")))))</f>
        <v/>
      </c>
    </row>
    <row r="43" customFormat="false" ht="15" hidden="false" customHeight="false" outlineLevel="0" collapsed="false">
      <c r="A43" s="9"/>
      <c r="B43" s="9"/>
      <c r="C43" s="38" t="str">
        <f aca="false">IF(A43="","",COUNTIFS(Tracker!$A$6:$A$305,A43,Tracker!$F$6:$F$305,IF(B43="","*",B43)))</f>
        <v/>
      </c>
      <c r="D43" s="39" t="str">
        <f aca="false">IF(A43="","",SUMIFS(Tracker!$H$6:$H$305,Tracker!$A$6:$A$305,A43,Tracker!$F$6:$F$305,IF(B43="","*",B43)))</f>
        <v/>
      </c>
      <c r="E43" s="39" t="str">
        <f aca="false">IF(A43="","",SUMIFS(Tracker!$I$6:$I$305,Tracker!$A$6:$A$305,A43,Tracker!$F$6:$F$305,IF(B43="","*",B43)))</f>
        <v/>
      </c>
      <c r="F43" s="39" t="str">
        <f aca="false">IF(OR(A43="",J43=0),"",SUMIFS(Tracker!$AA$6:$AA$305,Tracker!$A$6:$A$305,A43,Tracker!$F$6:$F$305,IF(B43="","*",B43)))</f>
        <v/>
      </c>
      <c r="G43" s="39" t="str">
        <f aca="false">IF(OR(A43="",J43=0),"",SUMIFS(Tracker!$AB$6:$AB$305,Tracker!$A$6:$A$305,A43,Tracker!$F$6:$F$305,IF(B43="","*",B43)))</f>
        <v/>
      </c>
      <c r="H43" s="40" t="str">
        <f aca="false">IF(OR(F43="",D43="",D43=0),"",F43/D43-1)</f>
        <v/>
      </c>
      <c r="I43" s="40" t="str">
        <f aca="false">IF(OR(G43="",E43="",E43=0),"",G43/E43-1)</f>
        <v/>
      </c>
      <c r="J43" s="38" t="str">
        <f aca="false">IF(A43="","",COUNTIFS(Tracker!$A$6:$A$305,A43,Tracker!$F$6:$F$305,IF(B43="","*",B43),Tracker!$AA$6:$AA$305,"&lt;&gt;"))</f>
        <v/>
      </c>
      <c r="K43" s="41" t="str">
        <f aca="false">IF(A43="","",IF(OR(J43=0,J43&lt;C43),"Pending",IF(D43=0,IF(F43&gt;0,"Win","Neutral"),IF(F43&gt;=D43*(1+'How to use'!$C$15),"Win",IF(F43&lt;=D43*(1+'How to use'!$C$16),"Loss","Neutral")))))</f>
        <v/>
      </c>
    </row>
    <row r="44" customFormat="false" ht="15" hidden="false" customHeight="false" outlineLevel="0" collapsed="false">
      <c r="A44" s="9"/>
      <c r="B44" s="9"/>
      <c r="C44" s="38" t="str">
        <f aca="false">IF(A44="","",COUNTIFS(Tracker!$A$6:$A$305,A44,Tracker!$F$6:$F$305,IF(B44="","*",B44)))</f>
        <v/>
      </c>
      <c r="D44" s="39" t="str">
        <f aca="false">IF(A44="","",SUMIFS(Tracker!$H$6:$H$305,Tracker!$A$6:$A$305,A44,Tracker!$F$6:$F$305,IF(B44="","*",B44)))</f>
        <v/>
      </c>
      <c r="E44" s="39" t="str">
        <f aca="false">IF(A44="","",SUMIFS(Tracker!$I$6:$I$305,Tracker!$A$6:$A$305,A44,Tracker!$F$6:$F$305,IF(B44="","*",B44)))</f>
        <v/>
      </c>
      <c r="F44" s="39" t="str">
        <f aca="false">IF(OR(A44="",J44=0),"",SUMIFS(Tracker!$AA$6:$AA$305,Tracker!$A$6:$A$305,A44,Tracker!$F$6:$F$305,IF(B44="","*",B44)))</f>
        <v/>
      </c>
      <c r="G44" s="39" t="str">
        <f aca="false">IF(OR(A44="",J44=0),"",SUMIFS(Tracker!$AB$6:$AB$305,Tracker!$A$6:$A$305,A44,Tracker!$F$6:$F$305,IF(B44="","*",B44)))</f>
        <v/>
      </c>
      <c r="H44" s="40" t="str">
        <f aca="false">IF(OR(F44="",D44="",D44=0),"",F44/D44-1)</f>
        <v/>
      </c>
      <c r="I44" s="40" t="str">
        <f aca="false">IF(OR(G44="",E44="",E44=0),"",G44/E44-1)</f>
        <v/>
      </c>
      <c r="J44" s="38" t="str">
        <f aca="false">IF(A44="","",COUNTIFS(Tracker!$A$6:$A$305,A44,Tracker!$F$6:$F$305,IF(B44="","*",B44),Tracker!$AA$6:$AA$305,"&lt;&gt;"))</f>
        <v/>
      </c>
      <c r="K44" s="41" t="str">
        <f aca="false">IF(A44="","",IF(OR(J44=0,J44&lt;C44),"Pending",IF(D44=0,IF(F44&gt;0,"Win","Neutral"),IF(F44&gt;=D44*(1+'How to use'!$C$15),"Win",IF(F44&lt;=D44*(1+'How to use'!$C$16),"Loss","Neutral")))))</f>
        <v/>
      </c>
    </row>
    <row r="45" customFormat="false" ht="15" hidden="false" customHeight="false" outlineLevel="0" collapsed="false">
      <c r="A45" s="9"/>
      <c r="B45" s="9"/>
      <c r="C45" s="38" t="str">
        <f aca="false">IF(A45="","",COUNTIFS(Tracker!$A$6:$A$305,A45,Tracker!$F$6:$F$305,IF(B45="","*",B45)))</f>
        <v/>
      </c>
      <c r="D45" s="39" t="str">
        <f aca="false">IF(A45="","",SUMIFS(Tracker!$H$6:$H$305,Tracker!$A$6:$A$305,A45,Tracker!$F$6:$F$305,IF(B45="","*",B45)))</f>
        <v/>
      </c>
      <c r="E45" s="39" t="str">
        <f aca="false">IF(A45="","",SUMIFS(Tracker!$I$6:$I$305,Tracker!$A$6:$A$305,A45,Tracker!$F$6:$F$305,IF(B45="","*",B45)))</f>
        <v/>
      </c>
      <c r="F45" s="39" t="str">
        <f aca="false">IF(OR(A45="",J45=0),"",SUMIFS(Tracker!$AA$6:$AA$305,Tracker!$A$6:$A$305,A45,Tracker!$F$6:$F$305,IF(B45="","*",B45)))</f>
        <v/>
      </c>
      <c r="G45" s="39" t="str">
        <f aca="false">IF(OR(A45="",J45=0),"",SUMIFS(Tracker!$AB$6:$AB$305,Tracker!$A$6:$A$305,A45,Tracker!$F$6:$F$305,IF(B45="","*",B45)))</f>
        <v/>
      </c>
      <c r="H45" s="40" t="str">
        <f aca="false">IF(OR(F45="",D45="",D45=0),"",F45/D45-1)</f>
        <v/>
      </c>
      <c r="I45" s="40" t="str">
        <f aca="false">IF(OR(G45="",E45="",E45=0),"",G45/E45-1)</f>
        <v/>
      </c>
      <c r="J45" s="38" t="str">
        <f aca="false">IF(A45="","",COUNTIFS(Tracker!$A$6:$A$305,A45,Tracker!$F$6:$F$305,IF(B45="","*",B45),Tracker!$AA$6:$AA$305,"&lt;&gt;"))</f>
        <v/>
      </c>
      <c r="K45" s="41" t="str">
        <f aca="false">IF(A45="","",IF(OR(J45=0,J45&lt;C45),"Pending",IF(D45=0,IF(F45&gt;0,"Win","Neutral"),IF(F45&gt;=D45*(1+'How to use'!$C$15),"Win",IF(F45&lt;=D45*(1+'How to use'!$C$16),"Loss","Neutral")))))</f>
        <v/>
      </c>
    </row>
    <row r="46" customFormat="false" ht="15" hidden="false" customHeight="false" outlineLevel="0" collapsed="false">
      <c r="A46" s="9"/>
      <c r="B46" s="9"/>
      <c r="C46" s="38" t="str">
        <f aca="false">IF(A46="","",COUNTIFS(Tracker!$A$6:$A$305,A46,Tracker!$F$6:$F$305,IF(B46="","*",B46)))</f>
        <v/>
      </c>
      <c r="D46" s="39" t="str">
        <f aca="false">IF(A46="","",SUMIFS(Tracker!$H$6:$H$305,Tracker!$A$6:$A$305,A46,Tracker!$F$6:$F$305,IF(B46="","*",B46)))</f>
        <v/>
      </c>
      <c r="E46" s="39" t="str">
        <f aca="false">IF(A46="","",SUMIFS(Tracker!$I$6:$I$305,Tracker!$A$6:$A$305,A46,Tracker!$F$6:$F$305,IF(B46="","*",B46)))</f>
        <v/>
      </c>
      <c r="F46" s="39" t="str">
        <f aca="false">IF(OR(A46="",J46=0),"",SUMIFS(Tracker!$AA$6:$AA$305,Tracker!$A$6:$A$305,A46,Tracker!$F$6:$F$305,IF(B46="","*",B46)))</f>
        <v/>
      </c>
      <c r="G46" s="39" t="str">
        <f aca="false">IF(OR(A46="",J46=0),"",SUMIFS(Tracker!$AB$6:$AB$305,Tracker!$A$6:$A$305,A46,Tracker!$F$6:$F$305,IF(B46="","*",B46)))</f>
        <v/>
      </c>
      <c r="H46" s="40" t="str">
        <f aca="false">IF(OR(F46="",D46="",D46=0),"",F46/D46-1)</f>
        <v/>
      </c>
      <c r="I46" s="40" t="str">
        <f aca="false">IF(OR(G46="",E46="",E46=0),"",G46/E46-1)</f>
        <v/>
      </c>
      <c r="J46" s="38" t="str">
        <f aca="false">IF(A46="","",COUNTIFS(Tracker!$A$6:$A$305,A46,Tracker!$F$6:$F$305,IF(B46="","*",B46),Tracker!$AA$6:$AA$305,"&lt;&gt;"))</f>
        <v/>
      </c>
      <c r="K46" s="41" t="str">
        <f aca="false">IF(A46="","",IF(OR(J46=0,J46&lt;C46),"Pending",IF(D46=0,IF(F46&gt;0,"Win","Neutral"),IF(F46&gt;=D46*(1+'How to use'!$C$15),"Win",IF(F46&lt;=D46*(1+'How to use'!$C$16),"Loss","Neutral")))))</f>
        <v/>
      </c>
    </row>
    <row r="47" customFormat="false" ht="15" hidden="false" customHeight="false" outlineLevel="0" collapsed="false">
      <c r="A47" s="9"/>
      <c r="B47" s="9"/>
      <c r="C47" s="38" t="str">
        <f aca="false">IF(A47="","",COUNTIFS(Tracker!$A$6:$A$305,A47,Tracker!$F$6:$F$305,IF(B47="","*",B47)))</f>
        <v/>
      </c>
      <c r="D47" s="39" t="str">
        <f aca="false">IF(A47="","",SUMIFS(Tracker!$H$6:$H$305,Tracker!$A$6:$A$305,A47,Tracker!$F$6:$F$305,IF(B47="","*",B47)))</f>
        <v/>
      </c>
      <c r="E47" s="39" t="str">
        <f aca="false">IF(A47="","",SUMIFS(Tracker!$I$6:$I$305,Tracker!$A$6:$A$305,A47,Tracker!$F$6:$F$305,IF(B47="","*",B47)))</f>
        <v/>
      </c>
      <c r="F47" s="39" t="str">
        <f aca="false">IF(OR(A47="",J47=0),"",SUMIFS(Tracker!$AA$6:$AA$305,Tracker!$A$6:$A$305,A47,Tracker!$F$6:$F$305,IF(B47="","*",B47)))</f>
        <v/>
      </c>
      <c r="G47" s="39" t="str">
        <f aca="false">IF(OR(A47="",J47=0),"",SUMIFS(Tracker!$AB$6:$AB$305,Tracker!$A$6:$A$305,A47,Tracker!$F$6:$F$305,IF(B47="","*",B47)))</f>
        <v/>
      </c>
      <c r="H47" s="40" t="str">
        <f aca="false">IF(OR(F47="",D47="",D47=0),"",F47/D47-1)</f>
        <v/>
      </c>
      <c r="I47" s="40" t="str">
        <f aca="false">IF(OR(G47="",E47="",E47=0),"",G47/E47-1)</f>
        <v/>
      </c>
      <c r="J47" s="38" t="str">
        <f aca="false">IF(A47="","",COUNTIFS(Tracker!$A$6:$A$305,A47,Tracker!$F$6:$F$305,IF(B47="","*",B47),Tracker!$AA$6:$AA$305,"&lt;&gt;"))</f>
        <v/>
      </c>
      <c r="K47" s="41" t="str">
        <f aca="false">IF(A47="","",IF(OR(J47=0,J47&lt;C47),"Pending",IF(D47=0,IF(F47&gt;0,"Win","Neutral"),IF(F47&gt;=D47*(1+'How to use'!$C$15),"Win",IF(F47&lt;=D47*(1+'How to use'!$C$16),"Loss","Neutral")))))</f>
        <v/>
      </c>
    </row>
    <row r="48" customFormat="false" ht="15" hidden="false" customHeight="false" outlineLevel="0" collapsed="false">
      <c r="A48" s="9"/>
      <c r="B48" s="9"/>
      <c r="C48" s="38" t="str">
        <f aca="false">IF(A48="","",COUNTIFS(Tracker!$A$6:$A$305,A48,Tracker!$F$6:$F$305,IF(B48="","*",B48)))</f>
        <v/>
      </c>
      <c r="D48" s="39" t="str">
        <f aca="false">IF(A48="","",SUMIFS(Tracker!$H$6:$H$305,Tracker!$A$6:$A$305,A48,Tracker!$F$6:$F$305,IF(B48="","*",B48)))</f>
        <v/>
      </c>
      <c r="E48" s="39" t="str">
        <f aca="false">IF(A48="","",SUMIFS(Tracker!$I$6:$I$305,Tracker!$A$6:$A$305,A48,Tracker!$F$6:$F$305,IF(B48="","*",B48)))</f>
        <v/>
      </c>
      <c r="F48" s="39" t="str">
        <f aca="false">IF(OR(A48="",J48=0),"",SUMIFS(Tracker!$AA$6:$AA$305,Tracker!$A$6:$A$305,A48,Tracker!$F$6:$F$305,IF(B48="","*",B48)))</f>
        <v/>
      </c>
      <c r="G48" s="39" t="str">
        <f aca="false">IF(OR(A48="",J48=0),"",SUMIFS(Tracker!$AB$6:$AB$305,Tracker!$A$6:$A$305,A48,Tracker!$F$6:$F$305,IF(B48="","*",B48)))</f>
        <v/>
      </c>
      <c r="H48" s="40" t="str">
        <f aca="false">IF(OR(F48="",D48="",D48=0),"",F48/D48-1)</f>
        <v/>
      </c>
      <c r="I48" s="40" t="str">
        <f aca="false">IF(OR(G48="",E48="",E48=0),"",G48/E48-1)</f>
        <v/>
      </c>
      <c r="J48" s="38" t="str">
        <f aca="false">IF(A48="","",COUNTIFS(Tracker!$A$6:$A$305,A48,Tracker!$F$6:$F$305,IF(B48="","*",B48),Tracker!$AA$6:$AA$305,"&lt;&gt;"))</f>
        <v/>
      </c>
      <c r="K48" s="41" t="str">
        <f aca="false">IF(A48="","",IF(OR(J48=0,J48&lt;C48),"Pending",IF(D48=0,IF(F48&gt;0,"Win","Neutral"),IF(F48&gt;=D48*(1+'How to use'!$C$15),"Win",IF(F48&lt;=D48*(1+'How to use'!$C$16),"Loss","Neutral")))))</f>
        <v/>
      </c>
    </row>
    <row r="49" customFormat="false" ht="15" hidden="false" customHeight="false" outlineLevel="0" collapsed="false">
      <c r="A49" s="9"/>
      <c r="B49" s="9"/>
      <c r="C49" s="38" t="str">
        <f aca="false">IF(A49="","",COUNTIFS(Tracker!$A$6:$A$305,A49,Tracker!$F$6:$F$305,IF(B49="","*",B49)))</f>
        <v/>
      </c>
      <c r="D49" s="39" t="str">
        <f aca="false">IF(A49="","",SUMIFS(Tracker!$H$6:$H$305,Tracker!$A$6:$A$305,A49,Tracker!$F$6:$F$305,IF(B49="","*",B49)))</f>
        <v/>
      </c>
      <c r="E49" s="39" t="str">
        <f aca="false">IF(A49="","",SUMIFS(Tracker!$I$6:$I$305,Tracker!$A$6:$A$305,A49,Tracker!$F$6:$F$305,IF(B49="","*",B49)))</f>
        <v/>
      </c>
      <c r="F49" s="39" t="str">
        <f aca="false">IF(OR(A49="",J49=0),"",SUMIFS(Tracker!$AA$6:$AA$305,Tracker!$A$6:$A$305,A49,Tracker!$F$6:$F$305,IF(B49="","*",B49)))</f>
        <v/>
      </c>
      <c r="G49" s="39" t="str">
        <f aca="false">IF(OR(A49="",J49=0),"",SUMIFS(Tracker!$AB$6:$AB$305,Tracker!$A$6:$A$305,A49,Tracker!$F$6:$F$305,IF(B49="","*",B49)))</f>
        <v/>
      </c>
      <c r="H49" s="40" t="str">
        <f aca="false">IF(OR(F49="",D49="",D49=0),"",F49/D49-1)</f>
        <v/>
      </c>
      <c r="I49" s="40" t="str">
        <f aca="false">IF(OR(G49="",E49="",E49=0),"",G49/E49-1)</f>
        <v/>
      </c>
      <c r="J49" s="38" t="str">
        <f aca="false">IF(A49="","",COUNTIFS(Tracker!$A$6:$A$305,A49,Tracker!$F$6:$F$305,IF(B49="","*",B49),Tracker!$AA$6:$AA$305,"&lt;&gt;"))</f>
        <v/>
      </c>
      <c r="K49" s="41" t="str">
        <f aca="false">IF(A49="","",IF(OR(J49=0,J49&lt;C49),"Pending",IF(D49=0,IF(F49&gt;0,"Win","Neutral"),IF(F49&gt;=D49*(1+'How to use'!$C$15),"Win",IF(F49&lt;=D49*(1+'How to use'!$C$16),"Loss","Neutral")))))</f>
        <v/>
      </c>
    </row>
    <row r="50" customFormat="false" ht="15" hidden="false" customHeight="false" outlineLevel="0" collapsed="false">
      <c r="A50" s="9"/>
      <c r="B50" s="9"/>
      <c r="C50" s="38" t="str">
        <f aca="false">IF(A50="","",COUNTIFS(Tracker!$A$6:$A$305,A50,Tracker!$F$6:$F$305,IF(B50="","*",B50)))</f>
        <v/>
      </c>
      <c r="D50" s="39" t="str">
        <f aca="false">IF(A50="","",SUMIFS(Tracker!$H$6:$H$305,Tracker!$A$6:$A$305,A50,Tracker!$F$6:$F$305,IF(B50="","*",B50)))</f>
        <v/>
      </c>
      <c r="E50" s="39" t="str">
        <f aca="false">IF(A50="","",SUMIFS(Tracker!$I$6:$I$305,Tracker!$A$6:$A$305,A50,Tracker!$F$6:$F$305,IF(B50="","*",B50)))</f>
        <v/>
      </c>
      <c r="F50" s="39" t="str">
        <f aca="false">IF(OR(A50="",J50=0),"",SUMIFS(Tracker!$AA$6:$AA$305,Tracker!$A$6:$A$305,A50,Tracker!$F$6:$F$305,IF(B50="","*",B50)))</f>
        <v/>
      </c>
      <c r="G50" s="39" t="str">
        <f aca="false">IF(OR(A50="",J50=0),"",SUMIFS(Tracker!$AB$6:$AB$305,Tracker!$A$6:$A$305,A50,Tracker!$F$6:$F$305,IF(B50="","*",B50)))</f>
        <v/>
      </c>
      <c r="H50" s="40" t="str">
        <f aca="false">IF(OR(F50="",D50="",D50=0),"",F50/D50-1)</f>
        <v/>
      </c>
      <c r="I50" s="40" t="str">
        <f aca="false">IF(OR(G50="",E50="",E50=0),"",G50/E50-1)</f>
        <v/>
      </c>
      <c r="J50" s="38" t="str">
        <f aca="false">IF(A50="","",COUNTIFS(Tracker!$A$6:$A$305,A50,Tracker!$F$6:$F$305,IF(B50="","*",B50),Tracker!$AA$6:$AA$305,"&lt;&gt;"))</f>
        <v/>
      </c>
      <c r="K50" s="41" t="str">
        <f aca="false">IF(A50="","",IF(OR(J50=0,J50&lt;C50),"Pending",IF(D50=0,IF(F50&gt;0,"Win","Neutral"),IF(F50&gt;=D50*(1+'How to use'!$C$15),"Win",IF(F50&lt;=D50*(1+'How to use'!$C$16),"Loss","Neutral")))))</f>
        <v/>
      </c>
    </row>
    <row r="51" customFormat="false" ht="15" hidden="false" customHeight="false" outlineLevel="0" collapsed="false">
      <c r="A51" s="9"/>
      <c r="B51" s="9"/>
      <c r="C51" s="38" t="str">
        <f aca="false">IF(A51="","",COUNTIFS(Tracker!$A$6:$A$305,A51,Tracker!$F$6:$F$305,IF(B51="","*",B51)))</f>
        <v/>
      </c>
      <c r="D51" s="39" t="str">
        <f aca="false">IF(A51="","",SUMIFS(Tracker!$H$6:$H$305,Tracker!$A$6:$A$305,A51,Tracker!$F$6:$F$305,IF(B51="","*",B51)))</f>
        <v/>
      </c>
      <c r="E51" s="39" t="str">
        <f aca="false">IF(A51="","",SUMIFS(Tracker!$I$6:$I$305,Tracker!$A$6:$A$305,A51,Tracker!$F$6:$F$305,IF(B51="","*",B51)))</f>
        <v/>
      </c>
      <c r="F51" s="39" t="str">
        <f aca="false">IF(OR(A51="",J51=0),"",SUMIFS(Tracker!$AA$6:$AA$305,Tracker!$A$6:$A$305,A51,Tracker!$F$6:$F$305,IF(B51="","*",B51)))</f>
        <v/>
      </c>
      <c r="G51" s="39" t="str">
        <f aca="false">IF(OR(A51="",J51=0),"",SUMIFS(Tracker!$AB$6:$AB$305,Tracker!$A$6:$A$305,A51,Tracker!$F$6:$F$305,IF(B51="","*",B51)))</f>
        <v/>
      </c>
      <c r="H51" s="40" t="str">
        <f aca="false">IF(OR(F51="",D51="",D51=0),"",F51/D51-1)</f>
        <v/>
      </c>
      <c r="I51" s="40" t="str">
        <f aca="false">IF(OR(G51="",E51="",E51=0),"",G51/E51-1)</f>
        <v/>
      </c>
      <c r="J51" s="38" t="str">
        <f aca="false">IF(A51="","",COUNTIFS(Tracker!$A$6:$A$305,A51,Tracker!$F$6:$F$305,IF(B51="","*",B51),Tracker!$AA$6:$AA$305,"&lt;&gt;"))</f>
        <v/>
      </c>
      <c r="K51" s="41" t="str">
        <f aca="false">IF(A51="","",IF(OR(J51=0,J51&lt;C51),"Pending",IF(D51=0,IF(F51&gt;0,"Win","Neutral"),IF(F51&gt;=D51*(1+'How to use'!$C$15),"Win",IF(F51&lt;=D51*(1+'How to use'!$C$16),"Loss","Neutral")))))</f>
        <v/>
      </c>
    </row>
    <row r="52" customFormat="false" ht="15" hidden="false" customHeight="false" outlineLevel="0" collapsed="false">
      <c r="A52" s="9"/>
      <c r="B52" s="9"/>
      <c r="C52" s="38" t="str">
        <f aca="false">IF(A52="","",COUNTIFS(Tracker!$A$6:$A$305,A52,Tracker!$F$6:$F$305,IF(B52="","*",B52)))</f>
        <v/>
      </c>
      <c r="D52" s="39" t="str">
        <f aca="false">IF(A52="","",SUMIFS(Tracker!$H$6:$H$305,Tracker!$A$6:$A$305,A52,Tracker!$F$6:$F$305,IF(B52="","*",B52)))</f>
        <v/>
      </c>
      <c r="E52" s="39" t="str">
        <f aca="false">IF(A52="","",SUMIFS(Tracker!$I$6:$I$305,Tracker!$A$6:$A$305,A52,Tracker!$F$6:$F$305,IF(B52="","*",B52)))</f>
        <v/>
      </c>
      <c r="F52" s="39" t="str">
        <f aca="false">IF(OR(A52="",J52=0),"",SUMIFS(Tracker!$AA$6:$AA$305,Tracker!$A$6:$A$305,A52,Tracker!$F$6:$F$305,IF(B52="","*",B52)))</f>
        <v/>
      </c>
      <c r="G52" s="39" t="str">
        <f aca="false">IF(OR(A52="",J52=0),"",SUMIFS(Tracker!$AB$6:$AB$305,Tracker!$A$6:$A$305,A52,Tracker!$F$6:$F$305,IF(B52="","*",B52)))</f>
        <v/>
      </c>
      <c r="H52" s="40" t="str">
        <f aca="false">IF(OR(F52="",D52="",D52=0),"",F52/D52-1)</f>
        <v/>
      </c>
      <c r="I52" s="40" t="str">
        <f aca="false">IF(OR(G52="",E52="",E52=0),"",G52/E52-1)</f>
        <v/>
      </c>
      <c r="J52" s="38" t="str">
        <f aca="false">IF(A52="","",COUNTIFS(Tracker!$A$6:$A$305,A52,Tracker!$F$6:$F$305,IF(B52="","*",B52),Tracker!$AA$6:$AA$305,"&lt;&gt;"))</f>
        <v/>
      </c>
      <c r="K52" s="41" t="str">
        <f aca="false">IF(A52="","",IF(OR(J52=0,J52&lt;C52),"Pending",IF(D52=0,IF(F52&gt;0,"Win","Neutral"),IF(F52&gt;=D52*(1+'How to use'!$C$15),"Win",IF(F52&lt;=D52*(1+'How to use'!$C$16),"Loss","Neutral")))))</f>
        <v/>
      </c>
    </row>
    <row r="53" customFormat="false" ht="15" hidden="false" customHeight="false" outlineLevel="0" collapsed="false">
      <c r="A53" s="9"/>
      <c r="B53" s="9"/>
      <c r="C53" s="38" t="str">
        <f aca="false">IF(A53="","",COUNTIFS(Tracker!$A$6:$A$305,A53,Tracker!$F$6:$F$305,IF(B53="","*",B53)))</f>
        <v/>
      </c>
      <c r="D53" s="39" t="str">
        <f aca="false">IF(A53="","",SUMIFS(Tracker!$H$6:$H$305,Tracker!$A$6:$A$305,A53,Tracker!$F$6:$F$305,IF(B53="","*",B53)))</f>
        <v/>
      </c>
      <c r="E53" s="39" t="str">
        <f aca="false">IF(A53="","",SUMIFS(Tracker!$I$6:$I$305,Tracker!$A$6:$A$305,A53,Tracker!$F$6:$F$305,IF(B53="","*",B53)))</f>
        <v/>
      </c>
      <c r="F53" s="39" t="str">
        <f aca="false">IF(OR(A53="",J53=0),"",SUMIFS(Tracker!$AA$6:$AA$305,Tracker!$A$6:$A$305,A53,Tracker!$F$6:$F$305,IF(B53="","*",B53)))</f>
        <v/>
      </c>
      <c r="G53" s="39" t="str">
        <f aca="false">IF(OR(A53="",J53=0),"",SUMIFS(Tracker!$AB$6:$AB$305,Tracker!$A$6:$A$305,A53,Tracker!$F$6:$F$305,IF(B53="","*",B53)))</f>
        <v/>
      </c>
      <c r="H53" s="40" t="str">
        <f aca="false">IF(OR(F53="",D53="",D53=0),"",F53/D53-1)</f>
        <v/>
      </c>
      <c r="I53" s="40" t="str">
        <f aca="false">IF(OR(G53="",E53="",E53=0),"",G53/E53-1)</f>
        <v/>
      </c>
      <c r="J53" s="38" t="str">
        <f aca="false">IF(A53="","",COUNTIFS(Tracker!$A$6:$A$305,A53,Tracker!$F$6:$F$305,IF(B53="","*",B53),Tracker!$AA$6:$AA$305,"&lt;&gt;"))</f>
        <v/>
      </c>
      <c r="K53" s="41" t="str">
        <f aca="false">IF(A53="","",IF(OR(J53=0,J53&lt;C53),"Pending",IF(D53=0,IF(F53&gt;0,"Win","Neutral"),IF(F53&gt;=D53*(1+'How to use'!$C$15),"Win",IF(F53&lt;=D53*(1+'How to use'!$C$16),"Loss","Neutral")))))</f>
        <v/>
      </c>
    </row>
    <row r="54" customFormat="false" ht="15" hidden="false" customHeight="false" outlineLevel="0" collapsed="false">
      <c r="A54" s="9"/>
      <c r="B54" s="9"/>
      <c r="C54" s="38" t="str">
        <f aca="false">IF(A54="","",COUNTIFS(Tracker!$A$6:$A$305,A54,Tracker!$F$6:$F$305,IF(B54="","*",B54)))</f>
        <v/>
      </c>
      <c r="D54" s="39" t="str">
        <f aca="false">IF(A54="","",SUMIFS(Tracker!$H$6:$H$305,Tracker!$A$6:$A$305,A54,Tracker!$F$6:$F$305,IF(B54="","*",B54)))</f>
        <v/>
      </c>
      <c r="E54" s="39" t="str">
        <f aca="false">IF(A54="","",SUMIFS(Tracker!$I$6:$I$305,Tracker!$A$6:$A$305,A54,Tracker!$F$6:$F$305,IF(B54="","*",B54)))</f>
        <v/>
      </c>
      <c r="F54" s="39" t="str">
        <f aca="false">IF(OR(A54="",J54=0),"",SUMIFS(Tracker!$AA$6:$AA$305,Tracker!$A$6:$A$305,A54,Tracker!$F$6:$F$305,IF(B54="","*",B54)))</f>
        <v/>
      </c>
      <c r="G54" s="39" t="str">
        <f aca="false">IF(OR(A54="",J54=0),"",SUMIFS(Tracker!$AB$6:$AB$305,Tracker!$A$6:$A$305,A54,Tracker!$F$6:$F$305,IF(B54="","*",B54)))</f>
        <v/>
      </c>
      <c r="H54" s="40" t="str">
        <f aca="false">IF(OR(F54="",D54="",D54=0),"",F54/D54-1)</f>
        <v/>
      </c>
      <c r="I54" s="40" t="str">
        <f aca="false">IF(OR(G54="",E54="",E54=0),"",G54/E54-1)</f>
        <v/>
      </c>
      <c r="J54" s="38" t="str">
        <f aca="false">IF(A54="","",COUNTIFS(Tracker!$A$6:$A$305,A54,Tracker!$F$6:$F$305,IF(B54="","*",B54),Tracker!$AA$6:$AA$305,"&lt;&gt;"))</f>
        <v/>
      </c>
      <c r="K54" s="41" t="str">
        <f aca="false">IF(A54="","",IF(OR(J54=0,J54&lt;C54),"Pending",IF(D54=0,IF(F54&gt;0,"Win","Neutral"),IF(F54&gt;=D54*(1+'How to use'!$C$15),"Win",IF(F54&lt;=D54*(1+'How to use'!$C$16),"Loss","Neutral")))))</f>
        <v/>
      </c>
    </row>
  </sheetData>
  <conditionalFormatting sqref="K5:K54">
    <cfRule type="cellIs" priority="2" operator="equal" aboveAverage="0" equalAverage="0" bottom="0" percent="0" rank="0" text="" dxfId="7">
      <formula>"Win"</formula>
    </cfRule>
    <cfRule type="cellIs" priority="3" operator="equal" aboveAverage="0" equalAverage="0" bottom="0" percent="0" rank="0" text="" dxfId="8">
      <formula>"Loss"</formula>
    </cfRule>
    <cfRule type="cellIs" priority="4" operator="equal" aboveAverage="0" equalAverage="0" bottom="0" percent="0" rank="0" text="" dxfId="9">
      <formula>"Neutral"</formula>
    </cfRule>
    <cfRule type="cellIs" priority="5" operator="equal" aboveAverage="0" equalAverage="0" bottom="0" percent="0" rank="0" text="" dxfId="10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2026-10-01T04:29:50Z</dcterms:created>
  <dc:creator>openpyxl</dc:creator>
  <dc:description/>
  <dc:language>en-US</dc:language>
  <cp:lastModifiedBy/>
  <dcterms:modified xsi:type="dcterms:W3CDTF">2026-10-01T04:29:51Z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