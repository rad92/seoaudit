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ummary" sheetId="1" r:id="rId1"/>
    <sheet name="Action Tracker" sheetId="2" r:id="rId2"/>
    <sheet name="Quick Wins" sheetId="3" r:id="rId3"/>
    <sheet name="Title &amp; Meta Rewrites" sheetId="4" r:id="rId4"/>
    <sheet name="Content Plan" sheetId="5" r:id="rId5"/>
    <sheet name="Blog Cleanup" sheetId="6" r:id="rId6"/>
    <sheet name="Keyword Clusters" sheetId="7" r:id="rId7"/>
    <sheet name="Semrush Data" sheetId="8" r:id="rId8"/>
    <sheet name="External Checks" sheetId="9" r:id="rId9"/>
    <sheet name="Sources" sheetId="10" r:id="rId10"/>
  </sheets>
  <definedNames>
    <definedName name="_xlnm._FilterDatabase" localSheetId="1" hidden="1">'Action Tracker'!$A$4:$M$36</definedName>
    <definedName name="_xlnm._FilterDatabase" localSheetId="2" hidden="1">'Quick Wins'!$A$3:$E$16</definedName>
    <definedName name="_xlnm._FilterDatabase" localSheetId="3" hidden="1">'Title &amp; Meta Rewrites'!$A$1:$F$26</definedName>
    <definedName name="_xlnm._FilterDatabase" localSheetId="4" hidden="1">'Content Plan'!$A$1:$I$21</definedName>
    <definedName name="_xlnm._FilterDatabase" localSheetId="5" hidden="1">'Blog Cleanup'!$A$1:$D$45</definedName>
    <definedName name="_xlnm._FilterDatabase" localSheetId="6" hidden="1">'Keyword Clusters'!$A$1:$G$13</definedName>
    <definedName name="_xlnm._FilterDatabase" localSheetId="8" hidden="1">'External Checks'!$A$1:$D$9</definedName>
    <definedName name="_xlnm._FilterDatabase" localSheetId="9" hidden="1">'Sources'!$A$1:$B$26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%;-0%;-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563C1"/>
      <sz val="10"/>
      <u val="single"/>
    </font>
    <font>
      <name val="Arial"/>
      <b val="1"/>
      <color rgb="001F3A5F"/>
      <sz val="16"/>
    </font>
    <font>
      <name val="Arial"/>
      <b val="1"/>
      <sz val="10"/>
    </font>
    <font>
      <name val="Arial"/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9" fillId="0" borderId="0" pivotButton="0" quotePrefix="0" xfId="0"/>
    <xf numFmtId="0" fontId="3" fillId="2" borderId="1" pivotButton="0" quotePrefix="0" xfId="0"/>
    <xf numFmtId="0" fontId="4" fillId="5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8" fillId="0" borderId="1" pivotButton="0" quotePrefix="0" xfId="0"/>
    <xf numFmtId="165" fontId="8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ont>
        <name val="Arial"/>
        <strike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Id="rId1" Type="http://schemas.openxmlformats.org/officeDocument/2006/relationships/hyperlink" Target="https://salesroads.com/" TargetMode="External"/><Relationship Id="rId2" Type="http://schemas.openxmlformats.org/officeDocument/2006/relationships/hyperlink" Target="https://salesroads.com/robots.txt" TargetMode="External"/><Relationship Id="rId3" Type="http://schemas.openxmlformats.org/officeDocument/2006/relationships/hyperlink" Target="https://salesroads.com/sitemap_index.xml" TargetMode="External"/><Relationship Id="rId4" Type="http://schemas.openxmlformats.org/officeDocument/2006/relationships/hyperlink" Target="https://salesroads.com/pricing/" TargetMode="External"/><Relationship Id="rId5" Type="http://schemas.openxmlformats.org/officeDocument/2006/relationships/hyperlink" Target="https://salesroads.com/reviews/" TargetMode="External"/><Relationship Id="rId6" Type="http://schemas.openxmlformats.org/officeDocument/2006/relationships/hyperlink" Target="https://salesroads.com/appointment-setting-services/" TargetMode="External"/><Relationship Id="rId7" Type="http://schemas.openxmlformats.org/officeDocument/2006/relationships/hyperlink" Target="https://salesroads.com/vsa/" TargetMode="External"/><Relationship Id="rId8" Type="http://schemas.openxmlformats.org/officeDocument/2006/relationships/hyperlink" Target="https://salesroads.com/wp-json/wp/v2/users" TargetMode="External"/><Relationship Id="rId9" Type="http://schemas.openxmlformats.org/officeDocument/2006/relationships/hyperlink" Target="https://www.g2.com/products/salesroads/competitors/alternatives" TargetMode="External"/><Relationship Id="rId10" Type="http://schemas.openxmlformats.org/officeDocument/2006/relationships/hyperlink" Target="https://www.g2.com/compare/salesroads-vs-memoryblue" TargetMode="External"/><Relationship Id="rId11" Type="http://schemas.openxmlformats.org/officeDocument/2006/relationships/hyperlink" Target="https://www.cleverly.co/blog/salesroads-reviews" TargetMode="External"/><Relationship Id="rId12" Type="http://schemas.openxmlformats.org/officeDocument/2006/relationships/hyperlink" Target="https://salesbread.com/salesroads/" TargetMode="External"/><Relationship Id="rId13" Type="http://schemas.openxmlformats.org/officeDocument/2006/relationships/hyperlink" Target="https://www.salesforge.ai/blog/salesroads-review" TargetMode="External"/><Relationship Id="rId14" Type="http://schemas.openxmlformats.org/officeDocument/2006/relationships/hyperlink" Target="https://outboundsalespro.com/salesroads-review/" TargetMode="External"/><Relationship Id="rId15" Type="http://schemas.openxmlformats.org/officeDocument/2006/relationships/hyperlink" Target="https://alleyoop.io/salesroads-alternative/" TargetMode="External"/><Relationship Id="rId16" Type="http://schemas.openxmlformats.org/officeDocument/2006/relationships/hyperlink" Target="https://www.remoteaides.com/salesroads-reviews-and-best-cold-calling-agency-alternatives/" TargetMode="External"/><Relationship Id="rId17" Type="http://schemas.openxmlformats.org/officeDocument/2006/relationships/hyperlink" Target="https://www.salesfocusinc.com/sales-outsourcing/appointment-setting/" TargetMode="External"/><Relationship Id="rId18" Type="http://schemas.openxmlformats.org/officeDocument/2006/relationships/hyperlink" Target="https://www.unboundb2b.com/blog/best-b2b-appointment-setting-companies-in-the-usa/" TargetMode="External"/><Relationship Id="rId19" Type="http://schemas.openxmlformats.org/officeDocument/2006/relationships/hyperlink" Target="https://www.callboxinc.com/outsourced-sdr-services/" TargetMode="External"/><Relationship Id="rId20" Type="http://schemas.openxmlformats.org/officeDocument/2006/relationships/hyperlink" Target="https://memoryblue.com/sdr-services/" TargetMode="External"/><Relationship Id="rId21" Type="http://schemas.openxmlformats.org/officeDocument/2006/relationships/hyperlink" Target="https://belkins.io/blog/appointment-setting-costs-pricing-models" TargetMode="External"/><Relationship Id="rId22" Type="http://schemas.openxmlformats.org/officeDocument/2006/relationships/hyperlink" Target="https://www.leadium.com/blog/appointment-setting-services" TargetMode="External"/><Relationship Id="rId23" Type="http://schemas.openxmlformats.org/officeDocument/2006/relationships/hyperlink" Target="https://clutch.co/us/call-centers/sales-outsourcing" TargetMode="External"/><Relationship Id="rId24" Type="http://schemas.openxmlformats.org/officeDocument/2006/relationships/hyperlink" Target="https://www.shodan.io/host/51.11.20.152" TargetMode="External"/><Relationship Id="rId25" Type="http://schemas.openxmlformats.org/officeDocument/2006/relationships/hyperlink" Target="https://www.semru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/>
  </sheetViews>
  <sheetFormatPr baseColWidth="8" defaultRowHeight="15"/>
  <cols>
    <col min="1" max="1" width="24" customWidth="1"/>
    <col min="2" max="2" width="95" customWidth="1"/>
    <col min="3" max="3" width="10" customWidth="1"/>
    <col min="4" max="4" width="10" customWidth="1"/>
    <col min="5" max="5" width="10" customWidth="1"/>
  </cols>
  <sheetData>
    <row r="1">
      <c r="A1" s="1" t="inlineStr">
        <is>
          <t xml:space="preserve">SEO Audit: salesroads.com</t>
        </is>
      </c>
    </row>
    <row r="3">
      <c r="A3" s="2" t="inlineStr">
        <is>
          <t xml:space="preserve">Audit date</t>
        </is>
      </c>
      <c r="B3" s="3" t="inlineStr">
        <is>
          <t xml:space="preserve">2026-10-01</t>
        </is>
      </c>
    </row>
    <row r="4">
      <c r="A4" s="2" t="inlineStr">
        <is>
          <t xml:space="preserve">Site</t>
        </is>
      </c>
      <c r="B4" s="3" t="inlineStr">
        <is>
          <t xml:space="preserve">https://salesroads.com/</t>
        </is>
      </c>
    </row>
    <row r="5">
      <c r="A5" s="2" t="inlineStr">
        <is>
          <t xml:space="preserve">Overall health</t>
        </is>
      </c>
      <c r="B5" s="4" t="inlineStr">
        <is>
          <t xml:space="preserve">Needs Work</t>
        </is>
      </c>
    </row>
    <row r="6">
      <c r="A6" s="2" t="inlineStr">
        <is>
          <t xml:space="preserve">Method</t>
        </is>
      </c>
      <c r="B6" s="3" t="inlineStr">
        <is>
          <t xml:space="preserve">Live crawl of all 390 sitemap URLs (raw HTML: titles, metas, headings, canonicals, robots, JSON-LD, links), robots.txt, 5 sub-sitemaps, cached vs uncached TTFB, plus SERP checks for core keywords, plus client-provided Semrush exports (Domain Overview, Organic Pages, Position Changes; Oct 1, 2026). Stack: WordPress + Elementor Pro + Rank Math on WP Engine / Cloudflare.</t>
        </is>
      </c>
    </row>
    <row r="8">
      <c r="A8" s="5" t="inlineStr">
        <is>
          <t xml:space="preserve">Findings by priority</t>
        </is>
      </c>
    </row>
    <row r="9">
      <c r="A9" s="6" t="inlineStr">
        <is>
          <t xml:space="preserve">Priority</t>
        </is>
      </c>
      <c r="B9" s="6" t="inlineStr">
        <is>
          <t xml:space="preserve">Total</t>
        </is>
      </c>
      <c r="C9" s="6" t="inlineStr">
        <is>
          <t xml:space="preserve">Done</t>
        </is>
      </c>
      <c r="D9" s="6" t="inlineStr">
        <is>
          <t xml:space="preserve">Open</t>
        </is>
      </c>
      <c r="E9" s="6" t="inlineStr">
        <is>
          <t xml:space="preserve">% Done</t>
        </is>
      </c>
    </row>
    <row r="10">
      <c r="A10" s="7" t="inlineStr">
        <is>
          <t xml:space="preserve">Critical</t>
        </is>
      </c>
      <c r="B10" s="8">
        <f>COUNTIF('Action Tracker'!$C$5:$C$36,A10)</f>
        <v>10</v>
      </c>
      <c r="C10" s="8">
        <f>COUNTIFS('Action Tracker'!$C$5:$C$36,A10,'Action Tracker'!$L$5:$L$36,"Done")</f>
        <v>0</v>
      </c>
      <c r="D10" s="8">
        <f>B10-C10</f>
        <v>10</v>
      </c>
      <c r="E10" s="9">
        <f>IF(B10=0,0,C10/B10)</f>
        <v>0</v>
      </c>
    </row>
    <row r="11">
      <c r="A11" s="10" t="inlineStr">
        <is>
          <t xml:space="preserve">Important</t>
        </is>
      </c>
      <c r="B11" s="8">
        <f>COUNTIF('Action Tracker'!$C$5:$C$36,A11)</f>
        <v>16</v>
      </c>
      <c r="C11" s="8">
        <f>COUNTIFS('Action Tracker'!$C$5:$C$36,A11,'Action Tracker'!$L$5:$L$36,"Done")</f>
        <v>0</v>
      </c>
      <c r="D11" s="8">
        <f>B11-C11</f>
        <v>16</v>
      </c>
      <c r="E11" s="9">
        <f>IF(B11=0,0,C11/B11)</f>
        <v>0</v>
      </c>
    </row>
    <row r="12">
      <c r="A12" s="11" t="inlineStr">
        <is>
          <t xml:space="preserve">Nice-to-have</t>
        </is>
      </c>
      <c r="B12" s="8">
        <f>COUNTIF('Action Tracker'!$C$5:$C$36,A12)</f>
        <v>6</v>
      </c>
      <c r="C12" s="8">
        <f>COUNTIFS('Action Tracker'!$C$5:$C$36,A12,'Action Tracker'!$L$5:$L$36,"Done")</f>
        <v>0</v>
      </c>
      <c r="D12" s="8">
        <f>B12-C12</f>
        <v>6</v>
      </c>
      <c r="E12" s="9">
        <f>IF(B12=0,0,C12/B12)</f>
        <v>0</v>
      </c>
    </row>
    <row r="13">
      <c r="A13" s="12" t="inlineStr">
        <is>
          <t xml:space="preserve">Total</t>
        </is>
      </c>
      <c r="B13" s="12">
        <f>SUM(B10:B12)</f>
        <v>32</v>
      </c>
      <c r="C13" s="12">
        <f>SUM(C10:C12)</f>
        <v>0</v>
      </c>
      <c r="D13" s="12">
        <f>SUM(D10:D12)</f>
        <v>32</v>
      </c>
      <c r="E13" s="13">
        <f>IF(B13=0,0,C13/B13)</f>
        <v>0</v>
      </c>
    </row>
    <row r="15">
      <c r="A15" s="5" t="inlineStr">
        <is>
          <t xml:space="preserve">Top critical issues</t>
        </is>
      </c>
    </row>
    <row r="16">
      <c r="A16" s="14" t="inlineStr">
        <is>
          <t xml:space="preserve">C-01</t>
        </is>
      </c>
      <c r="B16" s="3" t="inlineStr">
        <is>
          <t xml:space="preserve">74-char site name appended to 153 page titles</t>
        </is>
      </c>
    </row>
    <row r="17">
      <c r="A17" s="14" t="inlineStr">
        <is>
          <t xml:space="preserve">C-02</t>
        </is>
      </c>
      <c r="B17" s="3" t="inlineStr">
        <is>
          <t xml:space="preserve">Junk WP username 'jjUplds9j0das0' published as Article author; users REST API open</t>
        </is>
      </c>
    </row>
    <row r="18">
      <c r="A18" s="14" t="inlineStr">
        <is>
          <t xml:space="preserve">C-03</t>
        </is>
      </c>
      <c r="B18" s="3" t="inlineStr">
        <is>
          <t xml:space="preserve">Thank-you, opt-in, PPC and duplicate pages are indexable and in the sitemap</t>
        </is>
      </c>
    </row>
    <row r="19">
      <c r="A19" s="14" t="inlineStr">
        <is>
          <t xml:space="preserve">C-04</t>
        </is>
      </c>
      <c r="B19" s="3" t="inlineStr">
        <is>
          <t xml:space="preserve">Blog posts cannibalize service pages for money keywords</t>
        </is>
      </c>
    </row>
    <row r="20">
      <c r="A20" s="14" t="inlineStr">
        <is>
          <t xml:space="preserve">C-05</t>
        </is>
      </c>
      <c r="B20" s="3" t="inlineStr">
        <is>
          <t xml:space="preserve">Slow uncached server response (TTFB)</t>
        </is>
      </c>
    </row>
    <row r="21">
      <c r="A21" s="14" t="inlineStr">
        <is>
          <t xml:space="preserve">C-06</t>
        </is>
      </c>
      <c r="B21" s="3" t="inlineStr">
        <is>
          <t xml:space="preserve">Generic or internal titles on key pages</t>
        </is>
      </c>
    </row>
    <row r="22">
      <c r="A22" s="14" t="inlineStr">
        <is>
          <t xml:space="preserve">C-07</t>
        </is>
      </c>
      <c r="B22" s="3" t="inlineStr">
        <is>
          <t xml:space="preserve">43 pages have no meta description</t>
        </is>
      </c>
    </row>
    <row r="23">
      <c r="A23" s="14" t="inlineStr">
        <is>
          <t xml:space="preserve">C-08</t>
        </is>
      </c>
      <c r="B23" s="3" t="inlineStr">
        <is>
          <t xml:space="preserve">Missing H1 on key pages</t>
        </is>
      </c>
    </row>
    <row r="24">
      <c r="A24" s="14" t="inlineStr">
        <is>
          <t xml:space="preserve">C-09</t>
        </is>
      </c>
      <c r="B24" s="3" t="inlineStr">
        <is>
          <t xml:space="preserve">www.salesroads.com ranks as a separate homepage (Semrush)</t>
        </is>
      </c>
    </row>
    <row r="25">
      <c r="A25" s="14" t="inlineStr">
        <is>
          <t xml:space="preserve">C-10</t>
        </is>
      </c>
      <c r="B25" s="3" t="inlineStr">
        <is>
          <t xml:space="preserve">Temporary 307 redirect chains into top service pages</t>
        </is>
      </c>
    </row>
    <row r="27">
      <c r="A27" s="5" t="inlineStr">
        <is>
          <t xml:space="preserve">What's working</t>
        </is>
      </c>
    </row>
    <row r="28">
      <c r="B28" s="3" t="inlineStr">
        <is>
          <t xml:space="preserve">Public pricing on /pricing/ (rare among competitors) – a real asset for 'cost' queries.</t>
        </is>
      </c>
    </row>
    <row r="29">
      <c r="B29" s="3" t="inlineStr">
        <is>
          <t xml:space="preserve">33 case studies with named clients (Shell, Paylocity, Parker Hannifin, Clutch, Crewhu) and Challenge &gt; Solution &gt; Results structure.</t>
        </is>
      </c>
    </row>
    <row r="30">
      <c r="B30" s="3" t="inlineStr">
        <is>
          <t xml:space="preserve">Original formats: Sell Like a Leader podcast (42 episodes), Sales Feud, SDR hiring white paper, monthly newsletter.</t>
        </is>
      </c>
    </row>
    <row r="31">
      <c r="B31" s="3" t="inlineStr">
        <is>
          <t xml:space="preserve">Homepage ranks on page 1 for 'sales outsourcing company' (point-in-time sample).</t>
        </is>
      </c>
    </row>
    <row r="32">
      <c r="B32" s="3" t="inlineStr">
        <is>
          <t xml:space="preserve">/lead-generation-services/ is a strong commercial page: 21% of organic traffic, ranks for 'lead generation services' (6.6K/mo) and 'lead generation companies' (4.4K/mo) (Semrush).</t>
        </is>
      </c>
    </row>
    <row r="33">
      <c r="B33" s="3" t="inlineStr">
        <is>
          <t xml:space="preserve">HTTPS, self-referencing canonicals on all 390 URLs, correct 404s, OG/Twitter cards, Rank Math sitemaps incl. video sitemap.</t>
        </is>
      </c>
    </row>
    <row r="35">
      <c r="A35" s="5" t="inlineStr">
        <is>
          <t xml:space="preserve">Tabs</t>
        </is>
      </c>
    </row>
    <row r="36">
      <c r="A36" s="15" t="inlineStr">
        <is>
          <t xml:space="preserve">Action Tracker</t>
        </is>
      </c>
      <c r="B36" s="14" t="inlineStr">
        <is>
          <t xml:space="preserve">All findings with priority, recommendation, owner and status</t>
        </is>
      </c>
    </row>
    <row r="37">
      <c r="A37" s="15" t="inlineStr">
        <is>
          <t xml:space="preserve">Quick Wins</t>
        </is>
      </c>
      <c r="B37" s="14" t="inlineStr">
        <is>
          <t xml:space="preserve">Top 10 actions to do first</t>
        </is>
      </c>
    </row>
    <row r="38">
      <c r="A38" s="15" t="inlineStr">
        <is>
          <t xml:space="preserve">Title &amp; Meta Rewrites</t>
        </is>
      </c>
      <c r="B38" s="14" t="inlineStr">
        <is>
          <t xml:space="preserve">Copy-paste titles/metas with length checks</t>
        </is>
      </c>
    </row>
    <row r="39">
      <c r="A39" s="15" t="inlineStr">
        <is>
          <t xml:space="preserve">Content Plan</t>
        </is>
      </c>
      <c r="B39" s="14" t="inlineStr">
        <is>
          <t xml:space="preserve">New and rebuilt pages, with target queries and briefs</t>
        </is>
      </c>
    </row>
    <row r="40">
      <c r="A40" s="15" t="inlineStr">
        <is>
          <t xml:space="preserve">Blog Cleanup</t>
        </is>
      </c>
      <c r="B40" s="14" t="inlineStr">
        <is>
          <t xml:space="preserve">Merge / refresh / prune decisions for existing posts</t>
        </is>
      </c>
    </row>
    <row r="41">
      <c r="A41" s="15" t="inlineStr">
        <is>
          <t xml:space="preserve">Keyword Clusters</t>
        </is>
      </c>
      <c r="B41" s="14" t="inlineStr">
        <is>
          <t xml:space="preserve">Target clusters; fill in volumes from your SEO tool</t>
        </is>
      </c>
    </row>
    <row r="42">
      <c r="A42" s="15" t="inlineStr">
        <is>
          <t xml:space="preserve">Semrush Data</t>
        </is>
      </c>
      <c r="B42" s="14" t="inlineStr">
        <is>
          <t xml:space="preserve">Traffic snapshot, top pages and new rankings from the Semrush exports</t>
        </is>
      </c>
    </row>
    <row r="43">
      <c r="A43" s="15" t="inlineStr">
        <is>
          <t xml:space="preserve">External Checks</t>
        </is>
      </c>
      <c r="B43" s="14" t="inlineStr">
        <is>
          <t xml:space="preserve">Items to verify with GSC, PSI, Ahrefs, Screaming Frog</t>
        </is>
      </c>
    </row>
    <row r="44">
      <c r="A44" s="15" t="inlineStr">
        <is>
          <t xml:space="preserve">Sources</t>
        </is>
      </c>
      <c r="B44" s="14" t="inlineStr">
        <is>
          <t xml:space="preserve">Evidence URLs</t>
        </is>
      </c>
    </row>
  </sheetData>
  <hyperlinks>
    <hyperlink ref="A36" location="'Action Tracker'!A1" display="'Action Tracker'!A1"/>
    <hyperlink ref="A37" location="'Quick Wins'!A1" display="'Quick Wins'!A1"/>
    <hyperlink ref="A38" location="'Title &amp; Meta Rewrites'!A1" display="'Title &amp; Meta Rewrites'!A1"/>
    <hyperlink ref="A39" location="'Content Plan'!A1" display="'Content Plan'!A1"/>
    <hyperlink ref="A40" location="'Blog Cleanup'!A1" display="'Blog Cleanup'!A1"/>
    <hyperlink ref="A41" location="'Keyword Clusters'!A1" display="'Keyword Clusters'!A1"/>
    <hyperlink ref="A42" location="'Semrush Data'!A1" display="'Semrush Data'!A1"/>
    <hyperlink ref="A43" location="'External Checks'!A1" display="'External Checks'!A1"/>
    <hyperlink ref="A44" location="'Sources'!A1" display="'Source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7" customWidth="1"/>
    <col min="2" max="2" width="11" customWidth="1"/>
    <col min="3" max="3" width="12" customWidth="1"/>
    <col min="4" max="4" width="34" customWidth="1"/>
    <col min="5" max="5" width="40" customWidth="1"/>
    <col min="6" max="6" width="36" customWidth="1"/>
    <col min="7" max="7" width="48" customWidth="1"/>
    <col min="8" max="8" width="9" customWidth="1"/>
    <col min="9" max="9" width="9" customWidth="1"/>
    <col min="10" max="10" width="14" customWidth="1"/>
    <col min="11" max="11" width="12" customWidth="1"/>
    <col min="12" max="12" width="13" customWidth="1"/>
    <col min="13" max="13" width="24" customWidth="1"/>
  </cols>
  <sheetData>
    <row r="1">
      <c r="A1" s="16" t="inlineStr">
        <is>
          <t xml:space="preserve">SalesRoads.com SEO Audit – Action Tracker</t>
        </is>
      </c>
    </row>
    <row r="2">
      <c r="A2" s="17" t="inlineStr">
        <is>
          <t xml:space="preserve">Yellow columns (Owner, Due Date, Status, Notes) are for your team to fill in. Status 'Done' greys out the row and updates the Summary tab. Row 5 shows an example owner.</t>
        </is>
      </c>
    </row>
    <row r="4">
      <c r="A4" s="18" t="inlineStr">
        <is>
          <t xml:space="preserve">ID</t>
        </is>
      </c>
      <c r="B4" s="18" t="inlineStr">
        <is>
          <t xml:space="preserve">Category</t>
        </is>
      </c>
      <c r="C4" s="18" t="inlineStr">
        <is>
          <t xml:space="preserve">Priority</t>
        </is>
      </c>
      <c r="D4" s="18" t="inlineStr">
        <is>
          <t xml:space="preserve">Finding</t>
        </is>
      </c>
      <c r="E4" s="18" t="inlineStr">
        <is>
          <t xml:space="preserve">Affected URLs / Evidence</t>
        </is>
      </c>
      <c r="F4" s="18" t="inlineStr">
        <is>
          <t xml:space="preserve">Why it matters</t>
        </is>
      </c>
      <c r="G4" s="18" t="inlineStr">
        <is>
          <t xml:space="preserve">Recommendation</t>
        </is>
      </c>
      <c r="H4" s="18" t="inlineStr">
        <is>
          <t xml:space="preserve">Effort</t>
        </is>
      </c>
      <c r="I4" s="18" t="inlineStr">
        <is>
          <t xml:space="preserve">Impact</t>
        </is>
      </c>
      <c r="J4" s="18" t="inlineStr">
        <is>
          <t xml:space="preserve">Owner</t>
        </is>
      </c>
      <c r="K4" s="18" t="inlineStr">
        <is>
          <t xml:space="preserve">Due Date</t>
        </is>
      </c>
      <c r="L4" s="18" t="inlineStr">
        <is>
          <t xml:space="preserve">Status</t>
        </is>
      </c>
      <c r="M4" s="18" t="inlineStr">
        <is>
          <t xml:space="preserve">Notes</t>
        </is>
      </c>
    </row>
    <row r="5">
      <c r="A5" s="19" t="inlineStr">
        <is>
          <t xml:space="preserve">C-01</t>
        </is>
      </c>
      <c r="B5" s="19" t="inlineStr">
        <is>
          <t xml:space="preserve">On-Page</t>
        </is>
      </c>
      <c r="C5" s="19" t="inlineStr">
        <is>
          <t xml:space="preserve">Critical</t>
        </is>
      </c>
      <c r="D5" s="19" t="inlineStr">
        <is>
          <t xml:space="preserve">74-char site name appended to 153 page titles</t>
        </is>
      </c>
      <c r="E5" s="19" t="inlineStr">
        <is>
          <t xml:space="preserve">'- Sales Outsourcing Company | Outsourced Sales Team Services - SalesRoads' on /inbound-appointment-setting/ (101 chars), /logistics-supply-chain-industry/ (107), /manufacturing-industry-landing-page/ (109), /outbound-email-services/ (97)…</t>
        </is>
      </c>
      <c r="F5" s="19" t="inlineStr">
        <is>
          <t xml:space="preserve">Titles truncate at ~60 chars; keyword stuffed into 150+ titles dilutes relevance and competes with the homepage; leaks 'Industry Page' / 'Landing Page' names.</t>
        </is>
      </c>
      <c r="G5" s="19" t="inlineStr">
        <is>
          <t xml:space="preserve">Settings &gt; General &gt; Site Title (or Rank Math &gt; Global Meta &gt; Website Name) = 'SalesRoads'. Keep format %title% %sep% %sitename% with '|'. Then apply the 'Title &amp; Meta Rewrites' tab.</t>
        </is>
      </c>
      <c r="H5" s="19" t="inlineStr">
        <is>
          <t xml:space="preserve">Low</t>
        </is>
      </c>
      <c r="I5" s="19" t="inlineStr">
        <is>
          <t xml:space="preserve">High</t>
        </is>
      </c>
      <c r="J5" s="20" t="inlineStr">
        <is>
          <t xml:space="preserve">SEO lead</t>
        </is>
      </c>
      <c r="K5" s="21" t="inlineStr">
        <is>
          <t xml:space="preserve"/>
        </is>
      </c>
      <c r="L5" s="20" t="inlineStr">
        <is>
          <t xml:space="preserve">Not started</t>
        </is>
      </c>
      <c r="M5" s="20" t="inlineStr">
        <is>
          <t xml:space="preserve">Example row - replace with your owner</t>
        </is>
      </c>
    </row>
    <row r="6">
      <c r="A6" s="19" t="inlineStr">
        <is>
          <t xml:space="preserve">C-02</t>
        </is>
      </c>
      <c r="B6" s="19" t="inlineStr">
        <is>
          <t xml:space="preserve">Technical</t>
        </is>
      </c>
      <c r="C6" s="19" t="inlineStr">
        <is>
          <t xml:space="preserve">Critical</t>
        </is>
      </c>
      <c r="D6" s="19" t="inlineStr">
        <is>
          <t xml:space="preserve">Junk WP username 'jjUplds9j0das0' published as Article author; users REST API open</t>
        </is>
      </c>
      <c r="E6" s="19" t="inlineStr">
        <is>
          <t xml:space="preserve">Article + Person schema on homepage and 15 other pages; /wp-json/wp/v2/users returns 200</t>
        </is>
      </c>
      <c r="F6" s="19" t="inlineStr">
        <is>
          <t xml:space="preserve">Negative E-E-A-T signal (homepage is not an Article) and exposes half of an admin login; user enumeration is trivial.</t>
        </is>
      </c>
      <c r="G6" s="19" t="inlineStr">
        <is>
          <t xml:space="preserve">Rank Math &gt; Titles &amp; Meta &gt; Pages &gt; Schema Type = None/WebPage. Set the user's public display name. Block /wp-json/wp/v2/users for anonymous requests; consider renaming the account.</t>
        </is>
      </c>
      <c r="H6" s="19" t="inlineStr">
        <is>
          <t xml:space="preserve">Low</t>
        </is>
      </c>
      <c r="I6" s="19" t="inlineStr">
        <is>
          <t xml:space="preserve">High</t>
        </is>
      </c>
      <c r="J6" s="20" t="inlineStr">
        <is>
          <t xml:space="preserve"/>
        </is>
      </c>
      <c r="K6" s="21" t="inlineStr">
        <is>
          <t xml:space="preserve"/>
        </is>
      </c>
      <c r="L6" s="20" t="inlineStr">
        <is>
          <t xml:space="preserve">Not started</t>
        </is>
      </c>
      <c r="M6" s="20" t="inlineStr">
        <is>
          <t xml:space="preserve"/>
        </is>
      </c>
    </row>
    <row r="7">
      <c r="A7" s="19" t="inlineStr">
        <is>
          <t xml:space="preserve">C-03</t>
        </is>
      </c>
      <c r="B7" s="19" t="inlineStr">
        <is>
          <t xml:space="preserve">Technical</t>
        </is>
      </c>
      <c r="C7" s="19" t="inlineStr">
        <is>
          <t xml:space="preserve">Critical</t>
        </is>
      </c>
      <c r="D7" s="19" t="inlineStr">
        <is>
          <t xml:space="preserve">Thank-you, opt-in, PPC and duplicate pages are indexable and in the sitemap</t>
        </is>
      </c>
      <c r="E7" s="19" t="inlineStr">
        <is>
          <t xml:space="preserve">/request-received/, /meet-the-team/, /communication-opt-in-settings/, /vsa/ (16 of 20 headings = homepage), /appointment-setting-landing-page/, /lead-generation-landing-page/, /sales-outsourcing-landing-page/, /manufacturing-industry-landing-page/, /healthcare-industry-landing-page/</t>
        </is>
      </c>
      <c r="F7" s="19" t="inlineStr">
        <is>
          <t xml:space="preserve">PPC duplicates compete with the real service pages; thank-you pages in search pollute conversion tracking.</t>
        </is>
      </c>
      <c r="G7" s="19" t="inlineStr">
        <is>
          <t xml:space="preserve">Add noindex and remove from the sitemap (Rank Math &gt; Advanced on each page). Optionally 301 /vsa/ to / with a banner.</t>
        </is>
      </c>
      <c r="H7" s="19" t="inlineStr">
        <is>
          <t xml:space="preserve">Low</t>
        </is>
      </c>
      <c r="I7" s="19" t="inlineStr">
        <is>
          <t xml:space="preserve">High</t>
        </is>
      </c>
      <c r="J7" s="20" t="inlineStr">
        <is>
          <t xml:space="preserve"/>
        </is>
      </c>
      <c r="K7" s="21" t="inlineStr">
        <is>
          <t xml:space="preserve"/>
        </is>
      </c>
      <c r="L7" s="20" t="inlineStr">
        <is>
          <t xml:space="preserve">Not started</t>
        </is>
      </c>
      <c r="M7" s="20" t="inlineStr">
        <is>
          <t xml:space="preserve"/>
        </is>
      </c>
    </row>
    <row r="8">
      <c r="A8" s="19" t="inlineStr">
        <is>
          <t xml:space="preserve">C-04</t>
        </is>
      </c>
      <c r="B8" s="19" t="inlineStr">
        <is>
          <t xml:space="preserve">Content</t>
        </is>
      </c>
      <c r="C8" s="19" t="inlineStr">
        <is>
          <t xml:space="preserve">Critical</t>
        </is>
      </c>
      <c r="D8" s="19" t="inlineStr">
        <is>
          <t xml:space="preserve">Blog posts cannibalize service pages for money keywords</t>
        </is>
      </c>
      <c r="E8" s="19" t="inlineStr">
        <is>
          <t xml:space="preserve">40 URLs target 'appointment setting', 55 'lead generation', 43 'outsourcing'. /outsourcing/lead-generation-services/ shares the slug of /lead-generation-services/. Semrush: 'top outsourced sdr providers' ranks with / (#23) AND /outsourced-sdr-services/ (#61); 'appointment setting solutions' ranks with a blog post. See 'Blog Cleanup'.</t>
        </is>
      </c>
      <c r="F8" s="19" t="inlineStr">
        <is>
          <t xml:space="preserve">Google alternates between URLs; service pages absent from top 9 for 'B2B appointment setting services', 'outsourced SDR services', 'B2B cold calling services'.</t>
        </is>
      </c>
      <c r="G8" s="19" t="inlineStr">
        <is>
          <t xml:space="preserve">Confirm in GSC (query &gt; Pages). Merge + 301 duplicates; re-angle remaining posts to informational intent; link to service page with exact-match anchors.</t>
        </is>
      </c>
      <c r="H8" s="19" t="inlineStr">
        <is>
          <t xml:space="preserve">Medium</t>
        </is>
      </c>
      <c r="I8" s="19" t="inlineStr">
        <is>
          <t xml:space="preserve">High</t>
        </is>
      </c>
      <c r="J8" s="20" t="inlineStr">
        <is>
          <t xml:space="preserve"/>
        </is>
      </c>
      <c r="K8" s="21" t="inlineStr">
        <is>
          <t xml:space="preserve"/>
        </is>
      </c>
      <c r="L8" s="20" t="inlineStr">
        <is>
          <t xml:space="preserve">Not started</t>
        </is>
      </c>
      <c r="M8" s="20" t="inlineStr">
        <is>
          <t xml:space="preserve"/>
        </is>
      </c>
    </row>
    <row r="9">
      <c r="A9" s="19" t="inlineStr">
        <is>
          <t xml:space="preserve">C-05</t>
        </is>
      </c>
      <c r="B9" s="19" t="inlineStr">
        <is>
          <t xml:space="preserve">Technical</t>
        </is>
      </c>
      <c r="C9" s="19" t="inlineStr">
        <is>
          <t xml:space="preserve">Critical</t>
        </is>
      </c>
      <c r="D9" s="19" t="inlineStr">
        <is>
          <t xml:space="preserve">Slow uncached server response (TTFB)</t>
        </is>
      </c>
      <c r="E9" s="19" t="inlineStr">
        <is>
          <t xml:space="preserve">Cache MISS TTFB 1.9-3.2s on every page tested; 6-9s observed during crawl (/compliance-services-industry-page/ 9.7s). HTML cache max-age=600.</t>
        </is>
      </c>
      <c r="F9" s="19" t="inlineStr">
        <is>
          <t xml:space="preserve">Googlebot mostly hits cold cache on 348 posts; slow TTFB lowers crawl rate and LCP.</t>
        </is>
      </c>
      <c r="G9" s="19" t="inlineStr">
        <is>
          <t xml:space="preserve">Enable Cloudflare APO / edge HTML caching with purge-on-publish; profile origin (Query Monitor / New Relic); remove 'Crawl-delay: 10' from robots.txt.</t>
        </is>
      </c>
      <c r="H9" s="19" t="inlineStr">
        <is>
          <t xml:space="preserve">Medium</t>
        </is>
      </c>
      <c r="I9" s="19" t="inlineStr">
        <is>
          <t xml:space="preserve">High</t>
        </is>
      </c>
      <c r="J9" s="20" t="inlineStr">
        <is>
          <t xml:space="preserve"/>
        </is>
      </c>
      <c r="K9" s="21" t="inlineStr">
        <is>
          <t xml:space="preserve"/>
        </is>
      </c>
      <c r="L9" s="20" t="inlineStr">
        <is>
          <t xml:space="preserve">Not started</t>
        </is>
      </c>
      <c r="M9" s="20" t="inlineStr">
        <is>
          <t xml:space="preserve"/>
        </is>
      </c>
    </row>
    <row r="10">
      <c r="A10" s="19" t="inlineStr">
        <is>
          <t xml:space="preserve">C-06</t>
        </is>
      </c>
      <c r="B10" s="19" t="inlineStr">
        <is>
          <t xml:space="preserve">On-Page</t>
        </is>
      </c>
      <c r="C10" s="19" t="inlineStr">
        <is>
          <t xml:space="preserve">Critical</t>
        </is>
      </c>
      <c r="D10" s="19" t="inlineStr">
        <is>
          <t xml:space="preserve">Generic or internal titles on key pages</t>
        </is>
      </c>
      <c r="E10" s="19" t="inlineStr">
        <is>
          <t xml:space="preserve">Blog, About Us, Careers, Why Choose Us, Methodology, Client Success, Sales Executives, Request a Quote, 'Insurtech Industry Page'</t>
        </is>
      </c>
      <c r="F10" s="19" t="inlineStr">
        <is>
          <t xml:space="preserve">Highest-intent pages give Google little to rank and earn low CTR.</t>
        </is>
      </c>
      <c r="G10" s="19" t="inlineStr">
        <is>
          <t xml:space="preserve">Apply the 'Title &amp; Meta Rewrites' tab.</t>
        </is>
      </c>
      <c r="H10" s="19" t="inlineStr">
        <is>
          <t xml:space="preserve">Low</t>
        </is>
      </c>
      <c r="I10" s="19" t="inlineStr">
        <is>
          <t xml:space="preserve">High</t>
        </is>
      </c>
      <c r="J10" s="20" t="inlineStr">
        <is>
          <t xml:space="preserve"/>
        </is>
      </c>
      <c r="K10" s="21" t="inlineStr">
        <is>
          <t xml:space="preserve"/>
        </is>
      </c>
      <c r="L10" s="20" t="inlineStr">
        <is>
          <t xml:space="preserve">Not started</t>
        </is>
      </c>
      <c r="M10" s="20" t="inlineStr">
        <is>
          <t xml:space="preserve"/>
        </is>
      </c>
    </row>
    <row r="11">
      <c r="A11" s="19" t="inlineStr">
        <is>
          <t xml:space="preserve">C-07</t>
        </is>
      </c>
      <c r="B11" s="19" t="inlineStr">
        <is>
          <t xml:space="preserve">On-Page</t>
        </is>
      </c>
      <c r="C11" s="19" t="inlineStr">
        <is>
          <t xml:space="preserve">Critical</t>
        </is>
      </c>
      <c r="D11" s="19" t="inlineStr">
        <is>
          <t xml:space="preserve">43 pages have no meta description</t>
        </is>
      </c>
      <c r="E11" s="19" t="inlineStr">
        <is>
          <t xml:space="preserve">25 podcast episodes, 5 outsourcing, 5 leadership posts, 4 case studies (Clutch, Bold Penguin, Rudholm, ZoomIn), VSA announcement</t>
        </is>
      </c>
      <c r="F11" s="19" t="inlineStr">
        <is>
          <t xml:space="preserve">Google auto-generates snippets, often from boilerplate.</t>
        </is>
      </c>
      <c r="G11" s="19" t="inlineStr">
        <is>
          <t xml:space="preserve">Write 140-155 char descriptions; lead case studies with the result metric.</t>
        </is>
      </c>
      <c r="H11" s="19" t="inlineStr">
        <is>
          <t xml:space="preserve">Medium</t>
        </is>
      </c>
      <c r="I11" s="19" t="inlineStr">
        <is>
          <t xml:space="preserve">Medium</t>
        </is>
      </c>
      <c r="J11" s="20" t="inlineStr">
        <is>
          <t xml:space="preserve"/>
        </is>
      </c>
      <c r="K11" s="21" t="inlineStr">
        <is>
          <t xml:space="preserve"/>
        </is>
      </c>
      <c r="L11" s="20" t="inlineStr">
        <is>
          <t xml:space="preserve">Not started</t>
        </is>
      </c>
      <c r="M11" s="20" t="inlineStr">
        <is>
          <t xml:space="preserve"/>
        </is>
      </c>
    </row>
    <row r="12">
      <c r="A12" s="19" t="inlineStr">
        <is>
          <t xml:space="preserve">C-08</t>
        </is>
      </c>
      <c r="B12" s="19" t="inlineStr">
        <is>
          <t xml:space="preserve">On-Page</t>
        </is>
      </c>
      <c r="C12" s="19" t="inlineStr">
        <is>
          <t xml:space="preserve">Critical</t>
        </is>
      </c>
      <c r="D12" s="19" t="inlineStr">
        <is>
          <t xml:space="preserve">Missing H1 on key pages</t>
        </is>
      </c>
      <c r="E12" s="19" t="inlineStr">
        <is>
          <t xml:space="preserve">/blog/, /request-a-quote/, /all-industry-pages/, /communication-opt-in-settings/</t>
        </is>
      </c>
      <c r="F12" s="19" t="inlineStr">
        <is>
          <t xml:space="preserve">Weak topical signal on hub and conversion pages.</t>
        </is>
      </c>
      <c r="G12" s="19" t="inlineStr">
        <is>
          <t xml:space="preserve">Add one descriptive H1 to each (e.g. 'B2B Sales &amp; Outbound Prospecting Blog').</t>
        </is>
      </c>
      <c r="H12" s="19" t="inlineStr">
        <is>
          <t xml:space="preserve">Low</t>
        </is>
      </c>
      <c r="I12" s="19" t="inlineStr">
        <is>
          <t xml:space="preserve">Medium</t>
        </is>
      </c>
      <c r="J12" s="20" t="inlineStr">
        <is>
          <t xml:space="preserve"/>
        </is>
      </c>
      <c r="K12" s="21" t="inlineStr">
        <is>
          <t xml:space="preserve"/>
        </is>
      </c>
      <c r="L12" s="20" t="inlineStr">
        <is>
          <t xml:space="preserve">Not started</t>
        </is>
      </c>
      <c r="M12" s="20" t="inlineStr">
        <is>
          <t xml:space="preserve"/>
        </is>
      </c>
    </row>
    <row r="13">
      <c r="A13" s="19" t="inlineStr">
        <is>
          <t xml:space="preserve">C-09</t>
        </is>
      </c>
      <c r="B13" s="19" t="inlineStr">
        <is>
          <t xml:space="preserve">Technical</t>
        </is>
      </c>
      <c r="C13" s="19" t="inlineStr">
        <is>
          <t xml:space="preserve">Critical</t>
        </is>
      </c>
      <c r="D13" s="19" t="inlineStr">
        <is>
          <t xml:space="preserve">www.salesroads.com ranks as a separate homepage (Semrush)</t>
        </is>
      </c>
      <c r="E13" s="19" t="inlineStr">
        <is>
          <t xml:space="preserve">Semrush: https://www.salesroads.com/ = 12.0% of organic traffic, 34 keywords, 59 referring domains / 125 backlinks. Audit proxy blocked www so redirect unverified.</t>
        </is>
      </c>
      <c r="F13" s="19" t="inlineStr">
        <is>
          <t xml:space="preserve">Homepage signals may be split across two hosts.</t>
        </is>
      </c>
      <c r="G13" s="19" t="inlineStr">
        <is>
          <t xml:space="preserve">curl -sI https://www.salesroads.com/ and http://www… must return ONE 301 to https://salesroads.com/ (path preserved). Set in WP Engine Domains or Cloudflare redirect rule; check Google-selected canonical in GSC URL Inspection.</t>
        </is>
      </c>
      <c r="H13" s="19" t="inlineStr">
        <is>
          <t xml:space="preserve">Low</t>
        </is>
      </c>
      <c r="I13" s="19" t="inlineStr">
        <is>
          <t xml:space="preserve">High</t>
        </is>
      </c>
      <c r="J13" s="20" t="inlineStr">
        <is>
          <t xml:space="preserve"/>
        </is>
      </c>
      <c r="K13" s="21" t="inlineStr">
        <is>
          <t xml:space="preserve"/>
        </is>
      </c>
      <c r="L13" s="20" t="inlineStr">
        <is>
          <t xml:space="preserve">Not started</t>
        </is>
      </c>
      <c r="M13" s="20" t="inlineStr">
        <is>
          <t xml:space="preserve"/>
        </is>
      </c>
    </row>
    <row r="14">
      <c r="A14" s="19" t="inlineStr">
        <is>
          <t xml:space="preserve">C-10</t>
        </is>
      </c>
      <c r="B14" s="19" t="inlineStr">
        <is>
          <t xml:space="preserve">Technical</t>
        </is>
      </c>
      <c r="C14" s="19" t="inlineStr">
        <is>
          <t xml:space="preserve">Critical</t>
        </is>
      </c>
      <c r="D14" s="19" t="inlineStr">
        <is>
          <t xml:space="preserve">Temporary 307 redirect chains into top service pages</t>
        </is>
      </c>
      <c r="E14" s="19" t="inlineStr">
        <is>
          <t xml:space="preserve">/leadgeneration 301&gt;307&gt;301; /lead-generation 307&gt;301; /appointment-setting 307&gt;301; /contact 301&gt;301; /about and /case-studies 404</t>
        </is>
      </c>
      <c r="F14" s="19" t="inlineStr">
        <is>
          <t xml:space="preserve">/lead-generation-services/ earns 21% of organic traffic; 307s don't reliably pass equity/canonical signals.</t>
        </is>
      </c>
      <c r="G14" s="19" t="inlineStr">
        <is>
          <t xml:space="preserve">Replace with single 301s to final trailing-slash URLs (WP Engine redirect rules or Rank Math Redirections); add 301 /about &gt; /about-us/, /case-studies &gt; /client-success/.</t>
        </is>
      </c>
      <c r="H14" s="19" t="inlineStr">
        <is>
          <t xml:space="preserve">Low</t>
        </is>
      </c>
      <c r="I14" s="19" t="inlineStr">
        <is>
          <t xml:space="preserve">High</t>
        </is>
      </c>
      <c r="J14" s="20" t="inlineStr">
        <is>
          <t xml:space="preserve"/>
        </is>
      </c>
      <c r="K14" s="21" t="inlineStr">
        <is>
          <t xml:space="preserve"/>
        </is>
      </c>
      <c r="L14" s="20" t="inlineStr">
        <is>
          <t xml:space="preserve">Not started</t>
        </is>
      </c>
      <c r="M14" s="20" t="inlineStr">
        <is>
          <t xml:space="preserve"/>
        </is>
      </c>
    </row>
    <row r="15">
      <c r="A15" s="19" t="inlineStr">
        <is>
          <t xml:space="preserve">I-01</t>
        </is>
      </c>
      <c r="B15" s="19" t="inlineStr">
        <is>
          <t xml:space="preserve">Technical</t>
        </is>
      </c>
      <c r="C15" s="19" t="inlineStr">
        <is>
          <t xml:space="preserve">Important</t>
        </is>
      </c>
      <c r="D15" s="19" t="inlineStr">
        <is>
          <t xml:space="preserve">Self-serving / invalid review markup</t>
        </is>
      </c>
      <c r="E15" s="19" t="inlineStr">
        <is>
          <t xml:space="preserve">/reviews/ Product + AggregateRating (image is a .webm); /appointment-setting-services/ uses lowercase 'product' / 'aggregateRating' (invalid)</t>
        </is>
      </c>
      <c r="F15" s="19" t="inlineStr">
        <is>
          <t xml:space="preserve">Google does not show stars for self-reviews; marking a service as Product for stars risks a structured-data manual action.</t>
        </is>
      </c>
      <c r="G15" s="19" t="inlineStr">
        <is>
          <t xml:space="preserve">Remove Product/AggregateRating wrappers; keep attributed Review items only; fix or delete the lowercase block.</t>
        </is>
      </c>
      <c r="H15" s="19" t="inlineStr">
        <is>
          <t xml:space="preserve">Low</t>
        </is>
      </c>
      <c r="I15" s="19" t="inlineStr">
        <is>
          <t xml:space="preserve">Medium</t>
        </is>
      </c>
      <c r="J15" s="20" t="inlineStr">
        <is>
          <t xml:space="preserve"/>
        </is>
      </c>
      <c r="K15" s="21" t="inlineStr">
        <is>
          <t xml:space="preserve"/>
        </is>
      </c>
      <c r="L15" s="20" t="inlineStr">
        <is>
          <t xml:space="preserve">Not started</t>
        </is>
      </c>
      <c r="M15" s="20" t="inlineStr">
        <is>
          <t xml:space="preserve"/>
        </is>
      </c>
    </row>
    <row r="16">
      <c r="A16" s="19" t="inlineStr">
        <is>
          <t xml:space="preserve">I-02</t>
        </is>
      </c>
      <c r="B16" s="19" t="inlineStr">
        <is>
          <t xml:space="preserve">Technical</t>
        </is>
      </c>
      <c r="C16" s="19" t="inlineStr">
        <is>
          <t xml:space="preserve">Important</t>
        </is>
      </c>
      <c r="D16" s="19" t="inlineStr">
        <is>
          <t xml:space="preserve">340 of 347 BlogPostings lack datePublished/dateModified; no date shown on posts</t>
        </is>
      </c>
      <c r="E16" s="19" t="inlineStr">
        <is>
          <t xml:space="preserve">Rank Math BlogPosting schema; Elementor single-post template</t>
        </is>
      </c>
      <c r="F16" s="19" t="inlineStr">
        <is>
          <t xml:space="preserve">Freshness signal missing for 'how-to' and 'cost' queries and AI Overviews.</t>
        </is>
      </c>
      <c r="G16" s="19" t="inlineStr">
        <is>
          <t xml:space="preserve">Enable dates in Rank Math post schema; show 'Updated {date}' in the single-post template.</t>
        </is>
      </c>
      <c r="H16" s="19" t="inlineStr">
        <is>
          <t xml:space="preserve">Low</t>
        </is>
      </c>
      <c r="I16" s="19" t="inlineStr">
        <is>
          <t xml:space="preserve">Medium</t>
        </is>
      </c>
      <c r="J16" s="20" t="inlineStr">
        <is>
          <t xml:space="preserve"/>
        </is>
      </c>
      <c r="K16" s="21" t="inlineStr">
        <is>
          <t xml:space="preserve"/>
        </is>
      </c>
      <c r="L16" s="20" t="inlineStr">
        <is>
          <t xml:space="preserve">Not started</t>
        </is>
      </c>
      <c r="M16" s="20" t="inlineStr">
        <is>
          <t xml:space="preserve"/>
        </is>
      </c>
    </row>
    <row r="17">
      <c r="A17" s="19" t="inlineStr">
        <is>
          <t xml:space="preserve">I-03</t>
        </is>
      </c>
      <c r="B17" s="19" t="inlineStr">
        <is>
          <t xml:space="preserve">Technical</t>
        </is>
      </c>
      <c r="C17" s="19" t="inlineStr">
        <is>
          <t xml:space="preserve">Important</t>
        </is>
      </c>
      <c r="D17" s="19" t="inlineStr">
        <is>
          <t xml:space="preserve">Organization schema is weak</t>
        </is>
      </c>
      <c r="E17" s="19" t="inlineStr">
        <is>
          <t xml:space="preserve">name = 'SalesRoads | America's Most-Trusted…', description 'All Things Sales Outsourcing', logo 'Untitled-Project-38.png', no sameAs</t>
        </is>
      </c>
      <c r="F17" s="19" t="inlineStr">
        <is>
          <t xml:space="preserve">Muddies the brand entity / Knowledge Panel.</t>
        </is>
      </c>
      <c r="G17" s="19" t="inlineStr">
        <is>
          <t xml:space="preserve">name 'SalesRoads', legalName 'Homebase-USA', foundingDate, sameAs (LinkedIn, Clutch, G2, YouTube, podcast); rename logo file.</t>
        </is>
      </c>
      <c r="H17" s="19" t="inlineStr">
        <is>
          <t xml:space="preserve">Low</t>
        </is>
      </c>
      <c r="I17" s="19" t="inlineStr">
        <is>
          <t xml:space="preserve">Medium</t>
        </is>
      </c>
      <c r="J17" s="20" t="inlineStr">
        <is>
          <t xml:space="preserve"/>
        </is>
      </c>
      <c r="K17" s="21" t="inlineStr">
        <is>
          <t xml:space="preserve"/>
        </is>
      </c>
      <c r="L17" s="20" t="inlineStr">
        <is>
          <t xml:space="preserve">Not started</t>
        </is>
      </c>
      <c r="M17" s="20" t="inlineStr">
        <is>
          <t xml:space="preserve"/>
        </is>
      </c>
    </row>
    <row r="18">
      <c r="A18" s="19" t="inlineStr">
        <is>
          <t xml:space="preserve">I-04</t>
        </is>
      </c>
      <c r="B18" s="19" t="inlineStr">
        <is>
          <t xml:space="preserve">Technical</t>
        </is>
      </c>
      <c r="C18" s="19" t="inlineStr">
        <is>
          <t xml:space="preserve">Important</t>
        </is>
      </c>
      <c r="D18" s="19" t="inlineStr">
        <is>
          <t xml:space="preserve">Unidentified third-party script on all pages</t>
        </is>
      </c>
      <c r="E18" s="19" t="inlineStr">
        <is>
          <t xml:space="preserve">consortiumventure24.com/js/812387.js (synchronous) + noscript pixel; pattern matches B2B visitor-ID trackers</t>
        </is>
      </c>
      <c r="F18" s="19" t="inlineStr">
        <is>
          <t xml:space="preserve">Render-blocking and an unknown script is a security risk.</t>
        </is>
      </c>
      <c r="G18" s="19" t="inlineStr">
        <is>
          <t xml:space="preserve">Confirm with marketing it is intentional and contracted; if yes load async via GTM; if not remove now.</t>
        </is>
      </c>
      <c r="H18" s="19" t="inlineStr">
        <is>
          <t xml:space="preserve">Low</t>
        </is>
      </c>
      <c r="I18" s="19" t="inlineStr">
        <is>
          <t xml:space="preserve">Medium</t>
        </is>
      </c>
      <c r="J18" s="20" t="inlineStr">
        <is>
          <t xml:space="preserve"/>
        </is>
      </c>
      <c r="K18" s="21" t="inlineStr">
        <is>
          <t xml:space="preserve"/>
        </is>
      </c>
      <c r="L18" s="20" t="inlineStr">
        <is>
          <t xml:space="preserve">Not started</t>
        </is>
      </c>
      <c r="M18" s="20" t="inlineStr">
        <is>
          <t xml:space="preserve"/>
        </is>
      </c>
    </row>
    <row r="19">
      <c r="A19" s="19" t="inlineStr">
        <is>
          <t xml:space="preserve">I-05</t>
        </is>
      </c>
      <c r="B19" s="19" t="inlineStr">
        <is>
          <t xml:space="preserve">On-Page</t>
        </is>
      </c>
      <c r="C19" s="19" t="inlineStr">
        <is>
          <t xml:space="preserve">Important</t>
        </is>
      </c>
      <c r="D19" s="19" t="inlineStr">
        <is>
          <t xml:space="preserve">Multiple H1s on 15 pages; headings used for styling</t>
        </is>
      </c>
      <c r="E19" s="19" t="inlineStr">
        <is>
          <t xml:space="preserve">/outbound-email-services/ and /sales-feud/ repeat H1; phone number = H3 twice per page; 'Request a Quote' = H5; team names H2/H4/H6</t>
        </is>
      </c>
      <c r="F19" s="19" t="inlineStr">
        <is>
          <t xml:space="preserve">Messy outline across all 390 pages.</t>
        </is>
      </c>
      <c r="G19" s="19" t="inlineStr">
        <is>
          <t xml:space="preserve">One H1 per page; change header/footer/CTA headings to &lt;p&gt; in Elementor templates.</t>
        </is>
      </c>
      <c r="H19" s="19" t="inlineStr">
        <is>
          <t xml:space="preserve">Low</t>
        </is>
      </c>
      <c r="I19" s="19" t="inlineStr">
        <is>
          <t xml:space="preserve">Medium</t>
        </is>
      </c>
      <c r="J19" s="20" t="inlineStr">
        <is>
          <t xml:space="preserve"/>
        </is>
      </c>
      <c r="K19" s="21" t="inlineStr">
        <is>
          <t xml:space="preserve"/>
        </is>
      </c>
      <c r="L19" s="20" t="inlineStr">
        <is>
          <t xml:space="preserve">Not started</t>
        </is>
      </c>
      <c r="M19" s="20" t="inlineStr">
        <is>
          <t xml:space="preserve"/>
        </is>
      </c>
    </row>
    <row r="20">
      <c r="A20" s="19" t="inlineStr">
        <is>
          <t xml:space="preserve">I-06</t>
        </is>
      </c>
      <c r="B20" s="19" t="inlineStr">
        <is>
          <t xml:space="preserve">On-Page</t>
        </is>
      </c>
      <c r="C20" s="19" t="inlineStr">
        <is>
          <t xml:space="preserve">Important</t>
        </is>
      </c>
      <c r="D20" s="19" t="inlineStr">
        <is>
          <t xml:space="preserve">Homepage H1 is lowercase eyebrow 'sales outsourcing agency'</t>
        </is>
      </c>
      <c r="E20" s="19" t="inlineStr">
        <is>
          <t xml:space="preserve">Real headline 'We'll build your dream pipeline.' is H2</t>
        </is>
      </c>
      <c r="F20" s="19" t="inlineStr">
        <is>
          <t xml:space="preserve">Main page H1 wastes its keyword signal.</t>
        </is>
      </c>
      <c r="G20" s="19" t="inlineStr">
        <is>
          <t xml:space="preserve">H1: 'B2B Sales Outsourcing &amp; Appointment Setting That Builds Your Pipeline'; eyebrow becomes &lt;p&gt;.</t>
        </is>
      </c>
      <c r="H20" s="19" t="inlineStr">
        <is>
          <t xml:space="preserve">Low</t>
        </is>
      </c>
      <c r="I20" s="19" t="inlineStr">
        <is>
          <t xml:space="preserve">Medium</t>
        </is>
      </c>
      <c r="J20" s="20" t="inlineStr">
        <is>
          <t xml:space="preserve"/>
        </is>
      </c>
      <c r="K20" s="21" t="inlineStr">
        <is>
          <t xml:space="preserve"/>
        </is>
      </c>
      <c r="L20" s="20" t="inlineStr">
        <is>
          <t xml:space="preserve">Not started</t>
        </is>
      </c>
      <c r="M20" s="20" t="inlineStr">
        <is>
          <t xml:space="preserve"/>
        </is>
      </c>
    </row>
    <row r="21">
      <c r="A21" s="19" t="inlineStr">
        <is>
          <t xml:space="preserve">I-07</t>
        </is>
      </c>
      <c r="B21" s="19" t="inlineStr">
        <is>
          <t xml:space="preserve">On-Page</t>
        </is>
      </c>
      <c r="C21" s="19" t="inlineStr">
        <is>
          <t xml:space="preserve">Important</t>
        </is>
      </c>
      <c r="D21" s="19" t="inlineStr">
        <is>
          <t xml:space="preserve">Meta descriptions too long or junk</t>
        </is>
      </c>
      <c r="E21" s="19" t="inlineStr">
        <is>
          <t xml:space="preserve">130 over 160 chars; /about-us/ 'SALESROADS', /request-a-quote/ 'BOOK A CALL', /pricing/ 'SalesRoads Pricing', /fed-sled-industry/ 'FED&amp;SLED INDUSTRY'; templated '+19 years' on industry pages</t>
        </is>
      </c>
      <c r="F21" s="19" t="inlineStr">
        <is>
          <t xml:space="preserve">Truncated or unpersuasive snippets.</t>
        </is>
      </c>
      <c r="G21" s="19" t="inlineStr">
        <is>
          <t xml:space="preserve">Rewrite to 140-155 chars: keyword + proof + CTA.</t>
        </is>
      </c>
      <c r="H21" s="19" t="inlineStr">
        <is>
          <t xml:space="preserve">Medium</t>
        </is>
      </c>
      <c r="I21" s="19" t="inlineStr">
        <is>
          <t xml:space="preserve">Medium</t>
        </is>
      </c>
      <c r="J21" s="20" t="inlineStr">
        <is>
          <t xml:space="preserve"/>
        </is>
      </c>
      <c r="K21" s="21" t="inlineStr">
        <is>
          <t xml:space="preserve"/>
        </is>
      </c>
      <c r="L21" s="20" t="inlineStr">
        <is>
          <t xml:space="preserve">Not started</t>
        </is>
      </c>
      <c r="M21" s="20" t="inlineStr">
        <is>
          <t xml:space="preserve"/>
        </is>
      </c>
    </row>
    <row r="22">
      <c r="A22" s="19" t="inlineStr">
        <is>
          <t xml:space="preserve">I-08</t>
        </is>
      </c>
      <c r="B22" s="19" t="inlineStr">
        <is>
          <t xml:space="preserve">Performance</t>
        </is>
      </c>
      <c r="C22" s="19" t="inlineStr">
        <is>
          <t xml:space="preserve">Important</t>
        </is>
      </c>
      <c r="D22" s="19" t="inlineStr">
        <is>
          <t xml:space="preserve">Heavy front-end</t>
        </is>
      </c>
      <c r="E22" s="19" t="inlineStr">
        <is>
          <t xml:space="preserve">260-400 KB HTML; 19 stylesheets; 18 render-blocking scripts; 54 KB inline CSS; all 43 homepage images PNG/JPG; fonts from Google + fonts.bunny.net</t>
        </is>
      </c>
      <c r="F22" s="19" t="inlineStr">
        <is>
          <t xml:space="preserve">Hurts LCP/INP on mobile.</t>
        </is>
      </c>
      <c r="G22" s="19" t="inlineStr">
        <is>
          <t xml:space="preserve">Elementor optimized DOM/asset loading; defer jQuery-dependent scripts; delay chat widget; self-host one font; WebP/AVIF. Verify in PageSpeed Insights.</t>
        </is>
      </c>
      <c r="H22" s="19" t="inlineStr">
        <is>
          <t xml:space="preserve">Medium</t>
        </is>
      </c>
      <c r="I22" s="19" t="inlineStr">
        <is>
          <t xml:space="preserve">Medium</t>
        </is>
      </c>
      <c r="J22" s="20" t="inlineStr">
        <is>
          <t xml:space="preserve"/>
        </is>
      </c>
      <c r="K22" s="21" t="inlineStr">
        <is>
          <t xml:space="preserve"/>
        </is>
      </c>
      <c r="L22" s="20" t="inlineStr">
        <is>
          <t xml:space="preserve">Not started</t>
        </is>
      </c>
      <c r="M22" s="20" t="inlineStr">
        <is>
          <t xml:space="preserve"/>
        </is>
      </c>
    </row>
    <row r="23">
      <c r="A23" s="19" t="inlineStr">
        <is>
          <t xml:space="preserve">I-09</t>
        </is>
      </c>
      <c r="B23" s="19" t="inlineStr">
        <is>
          <t xml:space="preserve">Content</t>
        </is>
      </c>
      <c r="C23" s="19" t="inlineStr">
        <is>
          <t xml:space="preserve">Important</t>
        </is>
      </c>
      <c r="D23" s="19" t="inlineStr">
        <is>
          <t xml:space="preserve">No page answers 'SalesRoads reviews / alternatives'</t>
        </is>
      </c>
      <c r="E23" s="19" t="inlineStr">
        <is>
          <t xml:space="preserve">G2, Cleverly, SalesBread, Salesforge, OutboundSalesPro, Alleyoop, RemoteAides own the SERP; some quote outdated pricing</t>
        </is>
      </c>
      <c r="F23" s="19" t="inlineStr">
        <is>
          <t xml:space="preserve">Bottom-of-funnel buyers see competitor framing.</t>
        </is>
      </c>
      <c r="G23" s="19" t="inlineStr">
        <is>
          <t xml:space="preserve">Build the reviews &amp; alternatives page plus comparison pages (see 'Content Plan').</t>
        </is>
      </c>
      <c r="H23" s="19" t="inlineStr">
        <is>
          <t xml:space="preserve">Medium</t>
        </is>
      </c>
      <c r="I23" s="19" t="inlineStr">
        <is>
          <t xml:space="preserve">High</t>
        </is>
      </c>
      <c r="J23" s="20" t="inlineStr">
        <is>
          <t xml:space="preserve"/>
        </is>
      </c>
      <c r="K23" s="21" t="inlineStr">
        <is>
          <t xml:space="preserve"/>
        </is>
      </c>
      <c r="L23" s="20" t="inlineStr">
        <is>
          <t xml:space="preserve">Not started</t>
        </is>
      </c>
      <c r="M23" s="20" t="inlineStr">
        <is>
          <t xml:space="preserve"/>
        </is>
      </c>
    </row>
    <row r="24">
      <c r="A24" s="19" t="inlineStr">
        <is>
          <t xml:space="preserve">I-10</t>
        </is>
      </c>
      <c r="B24" s="19" t="inlineStr">
        <is>
          <t xml:space="preserve">Content</t>
        </is>
      </c>
      <c r="C24" s="19" t="inlineStr">
        <is>
          <t xml:space="preserve">Important</t>
        </is>
      </c>
      <c r="D24" s="19" t="inlineStr">
        <is>
          <t xml:space="preserve">Stale years in 17 titles</t>
        </is>
      </c>
      <c r="E24" s="19" t="inlineStr">
        <is>
          <t xml:space="preserve">'2024: 9 Best B2B Lead Generation Courses', 'Is Cold Calling Still Effective in 2024?', '…in 2023', 'Strategies for 2025' (URL says 2024)</t>
        </is>
      </c>
      <c r="F24" s="19" t="inlineStr">
        <is>
          <t xml:space="preserve">Looks outdated; lowers CTR.</t>
        </is>
      </c>
      <c r="G24" s="19" t="inlineStr">
        <is>
          <t xml:space="preserve">Refresh content and update or drop the year.</t>
        </is>
      </c>
      <c r="H24" s="19" t="inlineStr">
        <is>
          <t xml:space="preserve">Medium</t>
        </is>
      </c>
      <c r="I24" s="19" t="inlineStr">
        <is>
          <t xml:space="preserve">Medium</t>
        </is>
      </c>
      <c r="J24" s="20" t="inlineStr">
        <is>
          <t xml:space="preserve"/>
        </is>
      </c>
      <c r="K24" s="21" t="inlineStr">
        <is>
          <t xml:space="preserve"/>
        </is>
      </c>
      <c r="L24" s="20" t="inlineStr">
        <is>
          <t xml:space="preserve">Not started</t>
        </is>
      </c>
      <c r="M24" s="20" t="inlineStr">
        <is>
          <t xml:space="preserve"/>
        </is>
      </c>
    </row>
    <row r="25">
      <c r="A25" s="19" t="inlineStr">
        <is>
          <t xml:space="preserve">I-11</t>
        </is>
      </c>
      <c r="B25" s="19" t="inlineStr">
        <is>
          <t xml:space="preserve">Content</t>
        </is>
      </c>
      <c r="C25" s="19" t="inlineStr">
        <is>
          <t xml:space="preserve">Important</t>
        </is>
      </c>
      <c r="D25" s="19" t="inlineStr">
        <is>
          <t xml:space="preserve">Contradictory track-record claims</t>
        </is>
      </c>
      <c r="E25" s="19" t="inlineStr">
        <is>
          <t xml:space="preserve">'+19 years' (37), '19+' (16), '17+' (8), '15+' (10), '18+' (6), 'since 2007'; third parties say founded 2006</t>
        </is>
      </c>
      <c r="F25" s="19" t="inlineStr">
        <is>
          <t xml:space="preserve">Inconsistent facts undermine trust (E-E-A-T).</t>
        </is>
      </c>
      <c r="G25" s="19" t="inlineStr">
        <is>
          <t xml:space="preserve">Pick one fact (e.g. 'Since 2007') and replace everywhere incl. metas and schema.</t>
        </is>
      </c>
      <c r="H25" s="19" t="inlineStr">
        <is>
          <t xml:space="preserve">Low</t>
        </is>
      </c>
      <c r="I25" s="19" t="inlineStr">
        <is>
          <t xml:space="preserve">Medium</t>
        </is>
      </c>
      <c r="J25" s="20" t="inlineStr">
        <is>
          <t xml:space="preserve"/>
        </is>
      </c>
      <c r="K25" s="21" t="inlineStr">
        <is>
          <t xml:space="preserve"/>
        </is>
      </c>
      <c r="L25" s="20" t="inlineStr">
        <is>
          <t xml:space="preserve">Not started</t>
        </is>
      </c>
      <c r="M25" s="20" t="inlineStr">
        <is>
          <t xml:space="preserve"/>
        </is>
      </c>
    </row>
    <row r="26">
      <c r="A26" s="19" t="inlineStr">
        <is>
          <t xml:space="preserve">I-12</t>
        </is>
      </c>
      <c r="B26" s="19" t="inlineStr">
        <is>
          <t xml:space="preserve">Technical</t>
        </is>
      </c>
      <c r="C26" s="19" t="inlineStr">
        <is>
          <t xml:space="preserve">Important</t>
        </is>
      </c>
      <c r="D26" s="19" t="inlineStr">
        <is>
          <t xml:space="preserve">Blog pagination canonicalises to /blog/; category hubs not in sitemap</t>
        </is>
      </c>
      <c r="E26" s="19" t="inlineStr">
        <is>
          <t xml:space="preserve">/blog/?e-page-fdfa077=2 canonical = /blog/; /category/tactics/ etc. indexable with slug titles</t>
        </is>
      </c>
      <c r="F26" s="19" t="inlineStr">
        <is>
          <t xml:space="preserve">Older posts reachable only via sitemap/related widgets.</t>
        </is>
      </c>
      <c r="G26" s="19" t="inlineStr">
        <is>
          <t xml:space="preserve">Real paginated URLs (/blog/page/2/); add categories to sitemap with intro copy and proper titles.</t>
        </is>
      </c>
      <c r="H26" s="19" t="inlineStr">
        <is>
          <t xml:space="preserve">Medium</t>
        </is>
      </c>
      <c r="I26" s="19" t="inlineStr">
        <is>
          <t xml:space="preserve">Medium</t>
        </is>
      </c>
      <c r="J26" s="20" t="inlineStr">
        <is>
          <t xml:space="preserve"/>
        </is>
      </c>
      <c r="K26" s="21" t="inlineStr">
        <is>
          <t xml:space="preserve"/>
        </is>
      </c>
      <c r="L26" s="20" t="inlineStr">
        <is>
          <t xml:space="preserve">Not started</t>
        </is>
      </c>
      <c r="M26" s="20" t="inlineStr">
        <is>
          <t xml:space="preserve"/>
        </is>
      </c>
    </row>
    <row r="27">
      <c r="A27" s="19" t="inlineStr">
        <is>
          <t xml:space="preserve">I-13</t>
        </is>
      </c>
      <c r="B27" s="19" t="inlineStr">
        <is>
          <t xml:space="preserve">Content</t>
        </is>
      </c>
      <c r="C27" s="19" t="inlineStr">
        <is>
          <t xml:space="preserve">Important</t>
        </is>
      </c>
      <c r="D27" s="19" t="inlineStr">
        <is>
          <t xml:space="preserve">Thin case studies; no case-study hub</t>
        </is>
      </c>
      <c r="E27" s="19" t="inlineStr">
        <is>
          <t xml:space="preserve">Copperweld, Factor, Agility, Safecor, Shell ~550-620 words incl. boilerplate; /client-success/ is a logo wall</t>
        </is>
      </c>
      <c r="F27" s="19" t="inlineStr">
        <is>
          <t xml:space="preserve">Best proof content is underused.</t>
        </is>
      </c>
      <c r="G27" s="19" t="inlineStr">
        <is>
          <t xml:space="preserve">Build /case-studies/ hub filterable by industry/service; expand thin studies with metrics.</t>
        </is>
      </c>
      <c r="H27" s="19" t="inlineStr">
        <is>
          <t xml:space="preserve">Medium</t>
        </is>
      </c>
      <c r="I27" s="19" t="inlineStr">
        <is>
          <t xml:space="preserve">Medium</t>
        </is>
      </c>
      <c r="J27" s="20" t="inlineStr">
        <is>
          <t xml:space="preserve"/>
        </is>
      </c>
      <c r="K27" s="21" t="inlineStr">
        <is>
          <t xml:space="preserve"/>
        </is>
      </c>
      <c r="L27" s="20" t="inlineStr">
        <is>
          <t xml:space="preserve">Not started</t>
        </is>
      </c>
      <c r="M27" s="20" t="inlineStr">
        <is>
          <t xml:space="preserve"/>
        </is>
      </c>
    </row>
    <row r="28">
      <c r="A28" s="19" t="inlineStr">
        <is>
          <t xml:space="preserve">I-14</t>
        </is>
      </c>
      <c r="B28" s="19" t="inlineStr">
        <is>
          <t xml:space="preserve">Content</t>
        </is>
      </c>
      <c r="C28" s="19" t="inlineStr">
        <is>
          <t xml:space="preserve">Important</t>
        </is>
      </c>
      <c r="D28" s="19" t="inlineStr">
        <is>
          <t xml:space="preserve">High-traffic informational and job-description pages have no path to a service</t>
        </is>
      </c>
      <c r="E28" s="19" t="inlineStr">
        <is>
          <t xml:space="preserve">/tactics/qualifying-leads-definition/ (6.0% of traffic), /leadership/sales-executive-meaning/ (3.6%), /leadership/appointment-setting-job-description/ (1.7%), /leadership/lead-generation-job-description/ (1.2%), /leadership/business-development-and-sales-manager-job-description/ (0.7%; new #13 for 'manager in business development', 3.6K/mo)</t>
        </is>
      </c>
      <c r="F28" s="19" t="inlineStr">
        <is>
          <t xml:space="preserve">Job-description searchers are often hiring managers, i.e. buyers. Traffic currently doesn't convert.</t>
        </is>
      </c>
      <c r="G28" s="19" t="inlineStr">
        <is>
          <t xml:space="preserve">Add in-content CTA: 'Hiring an appointment setter? Compare the cost of an outsourced SDR' &gt; /pricing/ and /outsourcing/in-house-sdr-costs/. Keep these posts (do not prune).</t>
        </is>
      </c>
      <c r="H28" s="19" t="inlineStr">
        <is>
          <t xml:space="preserve">Low</t>
        </is>
      </c>
      <c r="I28" s="19" t="inlineStr">
        <is>
          <t xml:space="preserve">Medium</t>
        </is>
      </c>
      <c r="J28" s="20" t="inlineStr">
        <is>
          <t xml:space="preserve"/>
        </is>
      </c>
      <c r="K28" s="21" t="inlineStr">
        <is>
          <t xml:space="preserve"/>
        </is>
      </c>
      <c r="L28" s="20" t="inlineStr">
        <is>
          <t xml:space="preserve">Not started</t>
        </is>
      </c>
      <c r="M28" s="20" t="inlineStr">
        <is>
          <t xml:space="preserve"/>
        </is>
      </c>
    </row>
    <row r="29">
      <c r="A29" s="19" t="inlineStr">
        <is>
          <t xml:space="preserve">I-15</t>
        </is>
      </c>
      <c r="B29" s="19" t="inlineStr">
        <is>
          <t xml:space="preserve">Content</t>
        </is>
      </c>
      <c r="C29" s="19" t="inlineStr">
        <is>
          <t xml:space="preserve">Important</t>
        </is>
      </c>
      <c r="D29" s="19" t="inlineStr">
        <is>
          <t xml:space="preserve">Link equity sits on the homepage and two blog posts, not on service pages</t>
        </is>
      </c>
      <c r="E29" s="19" t="inlineStr">
        <is>
          <t xml:space="preserve">Semrush: home 668 referring domains; /leadership/ai-in-sales/ 146; /leadership/sales-and-business-development-courses/ 110; /lead-generation-services/ 60. Top referrers are directories (alivelink.org 1,703 links, neudesk.com 615, gitnux.org 323).</t>
        </is>
      </c>
      <c r="F29" s="19" t="inlineStr">
        <is>
          <t xml:space="preserve">Weak service pages (SDR, cold calling) lack authority; directory links won't move rankings.</t>
        </is>
      </c>
      <c r="G29" s="19" t="inlineStr">
        <is>
          <t xml:space="preserve">Refresh link-magnet posts in place (keep URLs); add contextual links from them to /outsourced-sdr-services/, /appointment-setting-services/, /outbound-calling-services/. Pursue digital PR with data assets (pricing benchmarks, SDR hiring report). Don't disavow unless a manual action.</t>
        </is>
      </c>
      <c r="H29" s="19" t="inlineStr">
        <is>
          <t xml:space="preserve">Medium</t>
        </is>
      </c>
      <c r="I29" s="19" t="inlineStr">
        <is>
          <t xml:space="preserve">Medium</t>
        </is>
      </c>
      <c r="J29" s="20" t="inlineStr">
        <is>
          <t xml:space="preserve"/>
        </is>
      </c>
      <c r="K29" s="21" t="inlineStr">
        <is>
          <t xml:space="preserve"/>
        </is>
      </c>
      <c r="L29" s="20" t="inlineStr">
        <is>
          <t xml:space="preserve">Not started</t>
        </is>
      </c>
      <c r="M29" s="20" t="inlineStr">
        <is>
          <t xml:space="preserve"/>
        </is>
      </c>
    </row>
    <row r="30">
      <c r="A30" s="19" t="inlineStr">
        <is>
          <t xml:space="preserve">I-16</t>
        </is>
      </c>
      <c r="B30" s="19" t="inlineStr">
        <is>
          <t xml:space="preserve">Content</t>
        </is>
      </c>
      <c r="C30" s="19" t="inlineStr">
        <is>
          <t xml:space="preserve">Important</t>
        </is>
      </c>
      <c r="D30" s="19" t="inlineStr">
        <is>
          <t xml:space="preserve">Organic traffic down ~40% from 2025 peak; only 85 top-3 keywords</t>
        </is>
      </c>
      <c r="E30" s="19" t="inlineStr">
        <is>
          <t xml:space="preserve">Semrush: 3.1K/mo vs ~5.5K peak; positions 1-3: 85, 4-10: 285, 11-20: 453; 72.7% informational keywords</t>
        </is>
      </c>
      <c r="F30" s="19" t="inlineStr">
        <is>
          <t xml:space="preserve">Visibility is eroding; 453 keywords are one push from page 1.</t>
        </is>
      </c>
      <c r="G30" s="19" t="inlineStr">
        <is>
          <t xml:space="preserve">Execute critical fixes first, then refresh the 11-20 'striking distance' pages (Semrush filter: positions 11-20, sort by volume).</t>
        </is>
      </c>
      <c r="H30" s="19" t="inlineStr">
        <is>
          <t xml:space="preserve">High</t>
        </is>
      </c>
      <c r="I30" s="19" t="inlineStr">
        <is>
          <t xml:space="preserve">High</t>
        </is>
      </c>
      <c r="J30" s="20" t="inlineStr">
        <is>
          <t xml:space="preserve"/>
        </is>
      </c>
      <c r="K30" s="21" t="inlineStr">
        <is>
          <t xml:space="preserve"/>
        </is>
      </c>
      <c r="L30" s="20" t="inlineStr">
        <is>
          <t xml:space="preserve">Not started</t>
        </is>
      </c>
      <c r="M30" s="20" t="inlineStr">
        <is>
          <t xml:space="preserve"/>
        </is>
      </c>
    </row>
    <row r="31">
      <c r="A31" s="19" t="inlineStr">
        <is>
          <t xml:space="preserve">N-01</t>
        </is>
      </c>
      <c r="B31" s="19" t="inlineStr">
        <is>
          <t xml:space="preserve">On-Page</t>
        </is>
      </c>
      <c r="C31" s="19" t="inlineStr">
        <is>
          <t xml:space="preserve">Nice-to-have</t>
        </is>
      </c>
      <c r="D31" s="19" t="inlineStr">
        <is>
          <t xml:space="preserve">14 template images lack alt text</t>
        </is>
      </c>
      <c r="E31" s="19" t="inlineStr">
        <is>
          <t xml:space="preserve">Menu icons (appointment-setting.png, lead-gen.png, case-studies.png…) on every page</t>
        </is>
      </c>
      <c r="F31" s="19" t="inlineStr">
        <is>
          <t xml:space="preserve">Accessibility + image search.</t>
        </is>
      </c>
      <c r="G31" s="19" t="inlineStr">
        <is>
          <t xml:space="preserve">Add alt in Media Library or alt="" if decorative.</t>
        </is>
      </c>
      <c r="H31" s="19" t="inlineStr">
        <is>
          <t xml:space="preserve">Low</t>
        </is>
      </c>
      <c r="I31" s="19" t="inlineStr">
        <is>
          <t xml:space="preserve">Low</t>
        </is>
      </c>
      <c r="J31" s="20" t="inlineStr">
        <is>
          <t xml:space="preserve"/>
        </is>
      </c>
      <c r="K31" s="21" t="inlineStr">
        <is>
          <t xml:space="preserve"/>
        </is>
      </c>
      <c r="L31" s="20" t="inlineStr">
        <is>
          <t xml:space="preserve">Not started</t>
        </is>
      </c>
      <c r="M31" s="20" t="inlineStr">
        <is>
          <t xml:space="preserve"/>
        </is>
      </c>
    </row>
    <row r="32">
      <c r="A32" s="19" t="inlineStr">
        <is>
          <t xml:space="preserve">N-02</t>
        </is>
      </c>
      <c r="B32" s="19" t="inlineStr">
        <is>
          <t xml:space="preserve">On-Page</t>
        </is>
      </c>
      <c r="C32" s="19" t="inlineStr">
        <is>
          <t xml:space="preserve">Nice-to-have</t>
        </is>
      </c>
      <c r="D32" s="19" t="inlineStr">
        <is>
          <t xml:space="preserve">UTM parameters on internal links</t>
        </is>
      </c>
      <c r="E32" s="19" t="inlineStr">
        <is>
          <t xml:space="preserve">/pricing/?utm_source=pricing… (14), /request-a-quote/?utm_…, /careers/?utm_…</t>
        </is>
      </c>
      <c r="F32" s="19" t="inlineStr">
        <is>
          <t xml:space="preserve">Resets GA4 session source.</t>
        </is>
      </c>
      <c r="G32" s="19" t="inlineStr">
        <is>
          <t xml:space="preserve">Track CTA clicks with GA4 events instead.</t>
        </is>
      </c>
      <c r="H32" s="19" t="inlineStr">
        <is>
          <t xml:space="preserve">Low</t>
        </is>
      </c>
      <c r="I32" s="19" t="inlineStr">
        <is>
          <t xml:space="preserve">Low</t>
        </is>
      </c>
      <c r="J32" s="20" t="inlineStr">
        <is>
          <t xml:space="preserve"/>
        </is>
      </c>
      <c r="K32" s="21" t="inlineStr">
        <is>
          <t xml:space="preserve"/>
        </is>
      </c>
      <c r="L32" s="20" t="inlineStr">
        <is>
          <t xml:space="preserve">Not started</t>
        </is>
      </c>
      <c r="M32" s="20" t="inlineStr">
        <is>
          <t xml:space="preserve"/>
        </is>
      </c>
    </row>
    <row r="33">
      <c r="A33" s="19" t="inlineStr">
        <is>
          <t xml:space="preserve">N-03</t>
        </is>
      </c>
      <c r="B33" s="19" t="inlineStr">
        <is>
          <t xml:space="preserve">On-Page</t>
        </is>
      </c>
      <c r="C33" s="19" t="inlineStr">
        <is>
          <t xml:space="preserve">Nice-to-have</t>
        </is>
      </c>
      <c r="D33" s="19" t="inlineStr">
        <is>
          <t xml:space="preserve">Internal links to redirects / noindex pages</t>
        </is>
      </c>
      <c r="E33" s="19" t="inlineStr">
        <is>
          <t xml:space="preserve">6 links via 301 (e.g. /tactics/cold-call-structure/); 1 link to noindexed /leadership/the-3-ai-lessons-…/; 5 date archives redirect to /</t>
        </is>
      </c>
      <c r="F33" s="19" t="inlineStr">
        <is>
          <t xml:space="preserve">Wasted crawl and link equity.</t>
        </is>
      </c>
      <c r="G33" s="19" t="inlineStr">
        <is>
          <t xml:space="preserve">Point links at final URLs; publish or remove the noindexed post.</t>
        </is>
      </c>
      <c r="H33" s="19" t="inlineStr">
        <is>
          <t xml:space="preserve">Low</t>
        </is>
      </c>
      <c r="I33" s="19" t="inlineStr">
        <is>
          <t xml:space="preserve">Low</t>
        </is>
      </c>
      <c r="J33" s="20" t="inlineStr">
        <is>
          <t xml:space="preserve"/>
        </is>
      </c>
      <c r="K33" s="21" t="inlineStr">
        <is>
          <t xml:space="preserve"/>
        </is>
      </c>
      <c r="L33" s="20" t="inlineStr">
        <is>
          <t xml:space="preserve">Not started</t>
        </is>
      </c>
      <c r="M33" s="20" t="inlineStr">
        <is>
          <t xml:space="preserve"/>
        </is>
      </c>
    </row>
    <row r="34">
      <c r="A34" s="19" t="inlineStr">
        <is>
          <t xml:space="preserve">N-04</t>
        </is>
      </c>
      <c r="B34" s="19" t="inlineStr">
        <is>
          <t xml:space="preserve">Technical</t>
        </is>
      </c>
      <c r="C34" s="19" t="inlineStr">
        <is>
          <t xml:space="preserve">Nice-to-have</t>
        </is>
      </c>
      <c r="D34" s="19" t="inlineStr">
        <is>
          <t xml:space="preserve">Tag robots inconsistent</t>
        </is>
      </c>
      <c r="E34" s="19" t="inlineStr">
        <is>
          <t xml:space="preserve">9 tags noindex; /tag/hiring/ index</t>
        </is>
      </c>
      <c r="F34" s="19" t="inlineStr">
        <is>
          <t xml:space="preserve">Thin archive indexed.</t>
        </is>
      </c>
      <c r="G34" s="19" t="inlineStr">
        <is>
          <t xml:space="preserve">Noindex /tag/hiring/.</t>
        </is>
      </c>
      <c r="H34" s="19" t="inlineStr">
        <is>
          <t xml:space="preserve">Low</t>
        </is>
      </c>
      <c r="I34" s="19" t="inlineStr">
        <is>
          <t xml:space="preserve">Low</t>
        </is>
      </c>
      <c r="J34" s="20" t="inlineStr">
        <is>
          <t xml:space="preserve"/>
        </is>
      </c>
      <c r="K34" s="21" t="inlineStr">
        <is>
          <t xml:space="preserve"/>
        </is>
      </c>
      <c r="L34" s="20" t="inlineStr">
        <is>
          <t xml:space="preserve">Not started</t>
        </is>
      </c>
      <c r="M34" s="20" t="inlineStr">
        <is>
          <t xml:space="preserve"/>
        </is>
      </c>
    </row>
    <row r="35">
      <c r="A35" s="19" t="inlineStr">
        <is>
          <t xml:space="preserve">N-05</t>
        </is>
      </c>
      <c r="B35" s="19" t="inlineStr">
        <is>
          <t xml:space="preserve">Technical</t>
        </is>
      </c>
      <c r="C35" s="19" t="inlineStr">
        <is>
          <t xml:space="preserve">Nice-to-have</t>
        </is>
      </c>
      <c r="D35" s="19" t="inlineStr">
        <is>
          <t xml:space="preserve">Video sitemap quality</t>
        </is>
      </c>
      <c r="E35" s="19" t="inlineStr">
        <is>
          <t xml:space="preserve">17 of 114 videos use YouTube boilerplate description; 20 titles carry the long suffix</t>
        </is>
      </c>
      <c r="F35" s="19" t="inlineStr">
        <is>
          <t xml:space="preserve">Poor video rich-result eligibility.</t>
        </is>
      </c>
      <c r="G35" s="19" t="inlineStr">
        <is>
          <t xml:space="preserve">Write one-sentence descriptions; C-01 fixes titles.</t>
        </is>
      </c>
      <c r="H35" s="19" t="inlineStr">
        <is>
          <t xml:space="preserve">Low</t>
        </is>
      </c>
      <c r="I35" s="19" t="inlineStr">
        <is>
          <t xml:space="preserve">Low</t>
        </is>
      </c>
      <c r="J35" s="20" t="inlineStr">
        <is>
          <t xml:space="preserve"/>
        </is>
      </c>
      <c r="K35" s="21" t="inlineStr">
        <is>
          <t xml:space="preserve"/>
        </is>
      </c>
      <c r="L35" s="20" t="inlineStr">
        <is>
          <t xml:space="preserve">Not started</t>
        </is>
      </c>
      <c r="M35" s="20" t="inlineStr">
        <is>
          <t xml:space="preserve"/>
        </is>
      </c>
    </row>
    <row r="36">
      <c r="A36" s="19" t="inlineStr">
        <is>
          <t xml:space="preserve">N-06</t>
        </is>
      </c>
      <c r="B36" s="19" t="inlineStr">
        <is>
          <t xml:space="preserve">Technical</t>
        </is>
      </c>
      <c r="C36" s="19" t="inlineStr">
        <is>
          <t xml:space="preserve">Nice-to-have</t>
        </is>
      </c>
      <c r="D36" s="19" t="inlineStr">
        <is>
          <t xml:space="preserve">No llms.txt</t>
        </is>
      </c>
      <c r="E36" s="19" t="inlineStr">
        <is>
          <t xml:space="preserve">/llms.txt returns 404; site has 'Ask ChatGPT / Claude / Perplexity' buttons</t>
        </is>
      </c>
      <c r="F36" s="19" t="inlineStr">
        <is>
          <t xml:space="preserve">Helps AI assistants find canonical service, pricing and case-study URLs.</t>
        </is>
      </c>
      <c r="G36" s="19" t="inlineStr">
        <is>
          <t xml:space="preserve">Add llms.txt (Rank Math can generate).</t>
        </is>
      </c>
      <c r="H36" s="19" t="inlineStr">
        <is>
          <t xml:space="preserve">Low</t>
        </is>
      </c>
      <c r="I36" s="19" t="inlineStr">
        <is>
          <t xml:space="preserve">Low</t>
        </is>
      </c>
      <c r="J36" s="20" t="inlineStr">
        <is>
          <t xml:space="preserve"/>
        </is>
      </c>
      <c r="K36" s="21" t="inlineStr">
        <is>
          <t xml:space="preserve"/>
        </is>
      </c>
      <c r="L36" s="20" t="inlineStr">
        <is>
          <t xml:space="preserve">Not started</t>
        </is>
      </c>
      <c r="M36" s="20" t="inlineStr">
        <is>
          <t xml:space="preserve"/>
        </is>
      </c>
    </row>
  </sheetData>
  <autoFilter ref="A4:M36"/>
  <conditionalFormatting sqref="C5:C36">
    <cfRule type="cellIs" priority="1" operator="equal" dxfId="0">
      <formula>"Critical"</formula>
    </cfRule>
    <cfRule type="cellIs" priority="2" operator="equal" dxfId="1">
      <formula>"Important"</formula>
    </cfRule>
    <cfRule type="cellIs" priority="3" operator="equal" dxfId="2">
      <formula>"Nice-to-have"</formula>
    </cfRule>
  </conditionalFormatting>
  <conditionalFormatting sqref="A5:M36">
    <cfRule type="expression" priority="4" dxfId="3">
      <formula>$L5="Done"</formula>
    </cfRule>
  </conditionalFormatting>
  <dataValidations count="3">
    <dataValidation type="list" allowBlank="1" showErrorMessage="1" sqref="L5:L36">
      <formula1>"Not started,In progress,Done,Won't fix"</formula1>
    </dataValidation>
    <dataValidation type="list" allowBlank="1" showErrorMessage="1" sqref="C5:C36">
      <formula1>"Critical,Important,Nice-to-have"</formula1>
    </dataValidation>
    <dataValidation type="list" allowBlank="1" showErrorMessage="1" sqref="H5:I36">
      <formula1>"Low,Medium,High"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min="1" max="1" width="5" customWidth="1"/>
    <col min="2" max="2" width="80" customWidth="1"/>
    <col min="3" max="3" width="13" customWidth="1"/>
    <col min="4" max="4" width="13" customWidth="1"/>
    <col min="5" max="5" width="20" customWidth="1"/>
  </cols>
  <sheetData>
    <row r="1">
      <c r="A1" s="16" t="inlineStr">
        <is>
          <t xml:space="preserve">Quick Wins – do these first</t>
        </is>
      </c>
    </row>
    <row r="3">
      <c r="A3" s="18" t="inlineStr">
        <is>
          <t xml:space="preserve">#</t>
        </is>
      </c>
      <c r="B3" s="18" t="inlineStr">
        <is>
          <t xml:space="preserve">Action</t>
        </is>
      </c>
      <c r="C3" s="18" t="inlineStr">
        <is>
          <t xml:space="preserve">Tracker ID</t>
        </is>
      </c>
      <c r="D3" s="18" t="inlineStr">
        <is>
          <t xml:space="preserve">Est. effort</t>
        </is>
      </c>
      <c r="E3" s="18" t="inlineStr">
        <is>
          <t xml:space="preserve">Status (from tracker)</t>
        </is>
      </c>
    </row>
    <row r="4">
      <c r="A4" s="19">
        <v>1</v>
      </c>
      <c r="B4" s="19" t="inlineStr">
        <is>
          <t xml:space="preserve">Set WordPress Site Title to 'SalesRoads' (removes 74-char suffix from 153 titles)</t>
        </is>
      </c>
      <c r="C4" s="19" t="inlineStr">
        <is>
          <t xml:space="preserve">C-01</t>
        </is>
      </c>
      <c r="D4" s="19" t="inlineStr">
        <is>
          <t xml:space="preserve">5 min</t>
        </is>
      </c>
      <c r="E4" s="22" t="str">
        <f>IFERROR(INDEX('Action Tracker'!$L$5:$L$36,MATCH(C4,'Action Tracker'!$A$5:$A$36,0)),"")</f>
        <v>Not started</v>
      </c>
    </row>
    <row r="5">
      <c r="A5" s="19">
        <v>2</v>
      </c>
      <c r="B5" s="19" t="inlineStr">
        <is>
          <t xml:space="preserve">Noindex + remove from sitemap: thank-you, opt-in, /vsa/ and 5 *-landing-page URLs</t>
        </is>
      </c>
      <c r="C5" s="19" t="inlineStr">
        <is>
          <t xml:space="preserve">C-03</t>
        </is>
      </c>
      <c r="D5" s="19" t="inlineStr">
        <is>
          <t xml:space="preserve">15 min</t>
        </is>
      </c>
      <c r="E5" s="22" t="str">
        <f>IFERROR(INDEX('Action Tracker'!$L$5:$L$36,MATCH(C5,'Action Tracker'!$A$5:$A$36,0)),"")</f>
        <v>Not started</v>
      </c>
    </row>
    <row r="6">
      <c r="A6" s="19">
        <v>3</v>
      </c>
      <c r="B6" s="19" t="inlineStr">
        <is>
          <t xml:space="preserve">Pages schema Article &gt; WebPage; fix display name for jjUplds9j0das0; block users API</t>
        </is>
      </c>
      <c r="C6" s="19" t="inlineStr">
        <is>
          <t xml:space="preserve">C-02</t>
        </is>
      </c>
      <c r="D6" s="19" t="inlineStr">
        <is>
          <t xml:space="preserve">15 min</t>
        </is>
      </c>
      <c r="E6" s="22" t="str">
        <f>IFERROR(INDEX('Action Tracker'!$L$5:$L$36,MATCH(C6,'Action Tracker'!$A$5:$A$36,0)),"")</f>
        <v>Not started</v>
      </c>
    </row>
    <row r="7">
      <c r="A7" s="19">
        <v>4</v>
      </c>
      <c r="B7" s="19" t="inlineStr">
        <is>
          <t xml:space="preserve">Identify or remove the consortiumventure24.com script</t>
        </is>
      </c>
      <c r="C7" s="19" t="inlineStr">
        <is>
          <t xml:space="preserve">I-04</t>
        </is>
      </c>
      <c r="D7" s="19" t="inlineStr">
        <is>
          <t xml:space="preserve">15 min</t>
        </is>
      </c>
      <c r="E7" s="22" t="str">
        <f>IFERROR(INDEX('Action Tracker'!$L$5:$L$36,MATCH(C7,'Action Tracker'!$A$5:$A$36,0)),"")</f>
        <v>Not started</v>
      </c>
    </row>
    <row r="8">
      <c r="A8" s="19">
        <v>5</v>
      </c>
      <c r="B8" s="19" t="inlineStr">
        <is>
          <t xml:space="preserve">Paste titles + metas from 'Title &amp; Meta Rewrites' for 25 commercial pages</t>
        </is>
      </c>
      <c r="C8" s="19" t="inlineStr">
        <is>
          <t xml:space="preserve">C-06</t>
        </is>
      </c>
      <c r="D8" s="19" t="inlineStr">
        <is>
          <t xml:space="preserve">1-2 hrs</t>
        </is>
      </c>
      <c r="E8" s="22" t="str">
        <f>IFERROR(INDEX('Action Tracker'!$L$5:$L$36,MATCH(C8,'Action Tracker'!$A$5:$A$36,0)),"")</f>
        <v>Not started</v>
      </c>
    </row>
    <row r="9">
      <c r="A9" s="19">
        <v>6</v>
      </c>
      <c r="B9" s="19" t="inlineStr">
        <is>
          <t xml:space="preserve">Fix Elementor heading templates: one H1, phone/CTA headings to &lt;p&gt;</t>
        </is>
      </c>
      <c r="C9" s="19" t="inlineStr">
        <is>
          <t xml:space="preserve">I-05</t>
        </is>
      </c>
      <c r="D9" s="19" t="inlineStr">
        <is>
          <t xml:space="preserve">1 hr</t>
        </is>
      </c>
      <c r="E9" s="22" t="str">
        <f>IFERROR(INDEX('Action Tracker'!$L$5:$L$36,MATCH(C9,'Action Tracker'!$A$5:$A$36,0)),"")</f>
        <v>Not started</v>
      </c>
    </row>
    <row r="10">
      <c r="A10" s="19">
        <v>7</v>
      </c>
      <c r="B10" s="19" t="inlineStr">
        <is>
          <t xml:space="preserve">Remove self-serving Product/AggregateRating schema</t>
        </is>
      </c>
      <c r="C10" s="19" t="inlineStr">
        <is>
          <t xml:space="preserve">I-01</t>
        </is>
      </c>
      <c r="D10" s="19" t="inlineStr">
        <is>
          <t xml:space="preserve">30 min</t>
        </is>
      </c>
      <c r="E10" s="22" t="str">
        <f>IFERROR(INDEX('Action Tracker'!$L$5:$L$36,MATCH(C10,'Action Tracker'!$A$5:$A$36,0)),"")</f>
        <v>Not started</v>
      </c>
    </row>
    <row r="11">
      <c r="A11" s="19">
        <v>8</v>
      </c>
      <c r="B11" s="19" t="inlineStr">
        <is>
          <t xml:space="preserve">Enable datePublished/dateModified + visible 'Updated' date on posts</t>
        </is>
      </c>
      <c r="C11" s="19" t="inlineStr">
        <is>
          <t xml:space="preserve">I-02</t>
        </is>
      </c>
      <c r="D11" s="19" t="inlineStr">
        <is>
          <t xml:space="preserve">30 min</t>
        </is>
      </c>
      <c r="E11" s="22" t="str">
        <f>IFERROR(INDEX('Action Tracker'!$L$5:$L$36,MATCH(C11,'Action Tracker'!$A$5:$A$36,0)),"")</f>
        <v>Not started</v>
      </c>
    </row>
    <row r="12">
      <c r="A12" s="19">
        <v>9</v>
      </c>
      <c r="B12" s="19" t="inlineStr">
        <is>
          <t xml:space="preserve">Rename/merge /outsourcing/lead-generation-services/</t>
        </is>
      </c>
      <c r="C12" s="19" t="inlineStr">
        <is>
          <t xml:space="preserve">C-04</t>
        </is>
      </c>
      <c r="D12" s="19" t="inlineStr">
        <is>
          <t xml:space="preserve">30 min</t>
        </is>
      </c>
      <c r="E12" s="22" t="str">
        <f>IFERROR(INDEX('Action Tracker'!$L$5:$L$36,MATCH(C12,'Action Tracker'!$A$5:$A$36,0)),"")</f>
        <v>Not started</v>
      </c>
    </row>
    <row r="13">
      <c r="A13" s="19">
        <v>10</v>
      </c>
      <c r="B13" s="19" t="inlineStr">
        <is>
          <t xml:space="preserve">Cloudflare APO / edge HTML caching; remove Crawl-delay</t>
        </is>
      </c>
      <c r="C13" s="19" t="inlineStr">
        <is>
          <t xml:space="preserve">C-05</t>
        </is>
      </c>
      <c r="D13" s="19" t="inlineStr">
        <is>
          <t xml:space="preserve">1 hr</t>
        </is>
      </c>
      <c r="E13" s="22" t="str">
        <f>IFERROR(INDEX('Action Tracker'!$L$5:$L$36,MATCH(C13,'Action Tracker'!$A$5:$A$36,0)),"")</f>
        <v>Not started</v>
      </c>
    </row>
    <row r="14">
      <c r="A14" s="19">
        <v>11</v>
      </c>
      <c r="B14" s="19" t="inlineStr">
        <is>
          <t xml:space="preserve">Confirm www &gt; apex is a single 301; check Google-selected canonical</t>
        </is>
      </c>
      <c r="C14" s="19" t="inlineStr">
        <is>
          <t xml:space="preserve">C-09</t>
        </is>
      </c>
      <c r="D14" s="19" t="inlineStr">
        <is>
          <t xml:space="preserve">15 min</t>
        </is>
      </c>
      <c r="E14" s="22" t="str">
        <f>IFERROR(INDEX('Action Tracker'!$L$5:$L$36,MATCH(C14,'Action Tracker'!$A$5:$A$36,0)),"")</f>
        <v>Not started</v>
      </c>
    </row>
    <row r="15">
      <c r="A15" s="19">
        <v>12</v>
      </c>
      <c r="B15" s="19" t="inlineStr">
        <is>
          <t xml:space="preserve">Replace 307 redirect chains (/leadgeneration, /lead-generation, /appointment-setting, /contact) with single 301s</t>
        </is>
      </c>
      <c r="C15" s="19" t="inlineStr">
        <is>
          <t xml:space="preserve">C-10</t>
        </is>
      </c>
      <c r="D15" s="19" t="inlineStr">
        <is>
          <t xml:space="preserve">15 min</t>
        </is>
      </c>
      <c r="E15" s="22" t="str">
        <f>IFERROR(INDEX('Action Tracker'!$L$5:$L$36,MATCH(C15,'Action Tracker'!$A$5:$A$36,0)),"")</f>
        <v>Not started</v>
      </c>
    </row>
    <row r="16">
      <c r="A16" s="19">
        <v>13</v>
      </c>
      <c r="B16" s="19" t="inlineStr">
        <is>
          <t xml:space="preserve">Add 'Hiring an SDR? Compare costs' CTA to job-description posts + service CTA on qualifying-leads-definition</t>
        </is>
      </c>
      <c r="C16" s="19" t="inlineStr">
        <is>
          <t xml:space="preserve">I-14</t>
        </is>
      </c>
      <c r="D16" s="19" t="inlineStr">
        <is>
          <t xml:space="preserve">1 hr</t>
        </is>
      </c>
      <c r="E16" s="22" t="str">
        <f>IFERROR(INDEX('Action Tracker'!$L$5:$L$36,MATCH(C16,'Action Tracker'!$A$5:$A$36,0)),"")</f>
        <v>Not started</v>
      </c>
    </row>
  </sheetData>
  <autoFilter ref="A3:E1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0" customWidth="1"/>
    <col min="2" max="2" width="40" customWidth="1"/>
    <col min="3" max="3" width="50" customWidth="1"/>
    <col min="4" max="4" width="70" customWidth="1"/>
    <col min="5" max="5" width="11" customWidth="1"/>
    <col min="6" max="6" width="11" customWidth="1"/>
  </cols>
  <sheetData>
    <row r="1">
      <c r="A1" s="18" t="inlineStr">
        <is>
          <t xml:space="preserve">URL</t>
        </is>
      </c>
      <c r="B1" s="18" t="inlineStr">
        <is>
          <t xml:space="preserve">Current title (live HTML)</t>
        </is>
      </c>
      <c r="C1" s="18" t="inlineStr">
        <is>
          <t xml:space="preserve">Proposed title</t>
        </is>
      </c>
      <c r="D1" s="18" t="inlineStr">
        <is>
          <t xml:space="preserve">Proposed meta description</t>
        </is>
      </c>
      <c r="E1" s="18" t="inlineStr">
        <is>
          <t xml:space="preserve">Title length</t>
        </is>
      </c>
      <c r="F1" s="18" t="inlineStr">
        <is>
          <t xml:space="preserve">Meta length</t>
        </is>
      </c>
    </row>
    <row r="2">
      <c r="A2" s="19" t="inlineStr">
        <is>
          <t xml:space="preserve">/</t>
        </is>
      </c>
      <c r="B2" s="19" t="inlineStr">
        <is>
          <t xml:space="preserve">Sales Outsourcing Company | Outsourced Sales Team Services - SalesRoads</t>
        </is>
      </c>
      <c r="C2" s="19" t="inlineStr">
        <is>
          <t xml:space="preserve">B2B Sales Outsourcing &amp; Appointment Setting | SalesRoads</t>
        </is>
      </c>
      <c r="D2" s="19" t="inlineStr">
        <is>
          <t xml:space="preserve">US-based SDR teams that book qualified B2B meetings for you. Trusted by Shell, Paylocity &amp; Clutch. Transparent pricing, cancel anytime. Get a quote.</t>
        </is>
      </c>
      <c r="E2" s="19">
        <f>LEN(C2)</f>
        <v>56</v>
      </c>
      <c r="F2" s="19">
        <f>LEN(D2)</f>
        <v>148</v>
      </c>
    </row>
    <row r="3">
      <c r="A3" s="19" t="inlineStr">
        <is>
          <t xml:space="preserve">/appointment-setting-services/</t>
        </is>
      </c>
      <c r="B3" s="19" t="inlineStr">
        <is>
          <t xml:space="preserve">B2B Appointment Setting Services | SalesRoads</t>
        </is>
      </c>
      <c r="C3" s="19" t="inlineStr">
        <is>
          <t xml:space="preserve">B2B Appointment Setting Services | SalesRoads</t>
        </is>
      </c>
      <c r="D3" s="19" t="inlineStr">
        <is>
          <t xml:space="preserve">Onshore SDRs who book qualified meetings with decision-makers. 937 appointments for AchieveIt. See pricing and case studies, then request a quote.</t>
        </is>
      </c>
      <c r="E3" s="19">
        <f>LEN(C3)</f>
        <v>45</v>
      </c>
      <c r="F3" s="19">
        <f>LEN(D3)</f>
        <v>146</v>
      </c>
    </row>
    <row r="4">
      <c r="A4" s="19" t="inlineStr">
        <is>
          <t xml:space="preserve">/outsourced-sdr-services/</t>
        </is>
      </c>
      <c r="B4" s="19" t="inlineStr">
        <is>
          <t xml:space="preserve">Outsourced SDR Services | SDR Outsourcing Company - SalesRoads</t>
        </is>
      </c>
      <c r="C4" s="19" t="inlineStr">
        <is>
          <t xml:space="preserve">Outsourced SDR Services: Dedicated US Reps | SalesRoads</t>
        </is>
      </c>
      <c r="D4" s="19" t="inlineStr">
        <is>
          <t xml:space="preserve">Get a fully managed outbound SDR team (reps, coaching, data ops and training) for less than the cost of hiring in-house. See pricing.</t>
        </is>
      </c>
      <c r="E4" s="19">
        <f>LEN(C4)</f>
        <v>55</v>
      </c>
      <c r="F4" s="19">
        <f>LEN(D4)</f>
        <v>133</v>
      </c>
    </row>
    <row r="5">
      <c r="A5" s="19" t="inlineStr">
        <is>
          <t xml:space="preserve">/outbound-calling-services/</t>
        </is>
      </c>
      <c r="B5" s="19" t="inlineStr">
        <is>
          <t xml:space="preserve">B2B Cold Calling Services | Cold Calling Outsourcing - SalesRoads</t>
        </is>
      </c>
      <c r="C5" s="19" t="inlineStr">
        <is>
          <t xml:space="preserve">B2B Cold Calling Services by US-Based SDRs | SalesRoads</t>
        </is>
      </c>
      <c r="D5" s="19" t="inlineStr">
        <is>
          <t xml:space="preserve">Experienced onshore callers who reach decision-makers, qualify interest and book meetings with B2B decision-makers. Get a quote.</t>
        </is>
      </c>
      <c r="E5" s="19">
        <f>LEN(C5)</f>
        <v>55</v>
      </c>
      <c r="F5" s="19">
        <f>LEN(D5)</f>
        <v>128</v>
      </c>
    </row>
    <row r="6">
      <c r="A6" s="19" t="inlineStr">
        <is>
          <t xml:space="preserve">/lead-generation-services/</t>
        </is>
      </c>
      <c r="B6" s="19" t="inlineStr">
        <is>
          <t xml:space="preserve">Outsourced Lead Generation Services: B2B Lead Generation Company</t>
        </is>
      </c>
      <c r="C6" s="19" t="inlineStr">
        <is>
          <t xml:space="preserve">B2B Lead Generation Services | SalesRoads</t>
        </is>
      </c>
      <c r="D6" s="19" t="inlineStr">
        <is>
          <t xml:space="preserve">Researched, phone-verified B2B leads and market-research lead generation that fill your pipeline with real buyers. See case studies and pricing.</t>
        </is>
      </c>
      <c r="E6" s="19">
        <f>LEN(C6)</f>
        <v>41</v>
      </c>
      <c r="F6" s="19">
        <f>LEN(D6)</f>
        <v>144</v>
      </c>
    </row>
    <row r="7">
      <c r="A7" s="19" t="inlineStr">
        <is>
          <t xml:space="preserve">/pricing/</t>
        </is>
      </c>
      <c r="B7" s="19" t="inlineStr">
        <is>
          <t xml:space="preserve">Pricing - Sales Outsourcing Company | Outsourced Sales Team Services - SalesRoads</t>
        </is>
      </c>
      <c r="C7" s="19" t="inlineStr">
        <is>
          <t xml:space="preserve">SalesRoads Pricing: Outsourced SDR &amp; Appointment Setting</t>
        </is>
      </c>
      <c r="D7" s="19" t="inlineStr">
        <is>
          <t xml:space="preserve">See exactly what an outsourced SDR program costs and how it compares with building in-house. Plans, what's included and FAQs.</t>
        </is>
      </c>
      <c r="E7" s="19">
        <f>LEN(C7)</f>
        <v>56</v>
      </c>
      <c r="F7" s="19">
        <f>LEN(D7)</f>
        <v>125</v>
      </c>
    </row>
    <row r="8">
      <c r="A8" s="19" t="inlineStr">
        <is>
          <t xml:space="preserve">/blog/</t>
        </is>
      </c>
      <c r="B8" s="19" t="inlineStr">
        <is>
          <t xml:space="preserve">Blog</t>
        </is>
      </c>
      <c r="C8" s="19" t="inlineStr">
        <is>
          <t xml:space="preserve">B2B Sales Blog: Cold Calling, SDR &amp; Lead Gen | SalesRoads</t>
        </is>
      </c>
      <c r="D8" s="19" t="inlineStr">
        <is>
          <t xml:space="preserve">Practical guides on cold calling, outbound email, SDR management and lead generation from the team that has booked thousands of B2B meetings.</t>
        </is>
      </c>
      <c r="E8" s="19">
        <f>LEN(C8)</f>
        <v>57</v>
      </c>
      <c r="F8" s="19">
        <f>LEN(D8)</f>
        <v>141</v>
      </c>
    </row>
    <row r="9">
      <c r="A9" s="19" t="inlineStr">
        <is>
          <t xml:space="preserve">/about-us/</t>
        </is>
      </c>
      <c r="B9" s="19" t="inlineStr">
        <is>
          <t xml:space="preserve">About Us</t>
        </is>
      </c>
      <c r="C9" s="19" t="inlineStr">
        <is>
          <t xml:space="preserve">About SalesRoads: US-Based Sales Development Since 2007</t>
        </is>
      </c>
      <c r="D9" s="19" t="inlineStr">
        <is>
          <t xml:space="preserve">Meet the onshore sales development team behind 33+ published client wins, 3× Inc. 5000 and a 4.9 Clutch rating. Our story, mission and people.</t>
        </is>
      </c>
      <c r="E9" s="19">
        <f>LEN(C9)</f>
        <v>55</v>
      </c>
      <c r="F9" s="19">
        <f>LEN(D9)</f>
        <v>142</v>
      </c>
    </row>
    <row r="10">
      <c r="A10" s="19" t="inlineStr">
        <is>
          <t xml:space="preserve">/why-us/</t>
        </is>
      </c>
      <c r="B10" s="19" t="inlineStr">
        <is>
          <t xml:space="preserve">Why Choose Us</t>
        </is>
      </c>
      <c r="C10" s="19" t="inlineStr">
        <is>
          <t xml:space="preserve">Why SalesRoads: Onshore SDRs &amp; Proven Results</t>
        </is>
      </c>
      <c r="D10" s="19" t="inlineStr">
        <is>
          <t xml:space="preserve">Senior US-based reps, transparent reporting, no long-term contracts. See how SalesRoads differs from other appointment setting agencies.</t>
        </is>
      </c>
      <c r="E10" s="19">
        <f>LEN(C10)</f>
        <v>45</v>
      </c>
      <c r="F10" s="19">
        <f>LEN(D10)</f>
        <v>136</v>
      </c>
    </row>
    <row r="11">
      <c r="A11" s="19" t="inlineStr">
        <is>
          <t xml:space="preserve">/reviews/</t>
        </is>
      </c>
      <c r="B11" s="19" t="inlineStr">
        <is>
          <t xml:space="preserve">Client Reviews</t>
        </is>
      </c>
      <c r="C11" s="19" t="inlineStr">
        <is>
          <t xml:space="preserve">SalesRoads Reviews: 4.9★ Client Ratings &amp; Testimonials</t>
        </is>
      </c>
      <c r="D11" s="19" t="inlineStr">
        <is>
          <t xml:space="preserve">Read verified client reviews of SalesRoads' appointment setting and SDR services from Clutch and G2, plus answers to common questions.</t>
        </is>
      </c>
      <c r="E11" s="19">
        <f>LEN(C11)</f>
        <v>54</v>
      </c>
      <c r="F11" s="19">
        <f>LEN(D11)</f>
        <v>134</v>
      </c>
    </row>
    <row r="12">
      <c r="A12" s="19" t="inlineStr">
        <is>
          <t xml:space="preserve">/inbound-appointment-setting/</t>
        </is>
      </c>
      <c r="B12" s="19" t="inlineStr">
        <is>
          <t xml:space="preserve">Inbound Appointment Setting - Sales Outsourcing Company | Outsourced Sales Team Services - SalesRoads</t>
        </is>
      </c>
      <c r="C12" s="19" t="inlineStr">
        <is>
          <t xml:space="preserve">Inbound Appointment Setting &amp; Lead Response | SalesRoads</t>
        </is>
      </c>
      <c r="D12" s="19" t="inlineStr">
        <is>
          <t xml:space="preserve">Stop letting ready buyers slip through the cracks. Our SDRs follow up on inbound leads and turn them into booked meetings.</t>
        </is>
      </c>
      <c r="E12" s="19">
        <f>LEN(C12)</f>
        <v>56</v>
      </c>
      <c r="F12" s="19">
        <f>LEN(D12)</f>
        <v>122</v>
      </c>
    </row>
    <row r="13">
      <c r="A13" s="19" t="inlineStr">
        <is>
          <t xml:space="preserve">/outbound-email-services/</t>
        </is>
      </c>
      <c r="B13" s="19" t="inlineStr">
        <is>
          <t xml:space="preserve">Outbound Email Services - Sales Outsourcing Company | Outsourced Sales Team Services - SalesRoads</t>
        </is>
      </c>
      <c r="C13" s="19" t="inlineStr">
        <is>
          <t xml:space="preserve">Outbound Email Services: B2B Cold Email | SalesRoads</t>
        </is>
      </c>
      <c r="D13" s="19" t="inlineStr">
        <is>
          <t xml:space="preserve">Personalized B2B cold email campaigns written and run by SDRs, with deliverability managed and replies converted into meetings.</t>
        </is>
      </c>
      <c r="E13" s="19">
        <f>LEN(C13)</f>
        <v>52</v>
      </c>
      <c r="F13" s="19">
        <f>LEN(D13)</f>
        <v>127</v>
      </c>
    </row>
    <row r="14">
      <c r="A14" s="19" t="inlineStr">
        <is>
          <t xml:space="preserve">/account-reactivation/</t>
        </is>
      </c>
      <c r="B14" s="19" t="inlineStr">
        <is>
          <t xml:space="preserve">Account Reactivation - Sales Outsourcing Company | Outsourced Sales Team Services - SalesRoads</t>
        </is>
      </c>
      <c r="C14" s="19" t="inlineStr">
        <is>
          <t xml:space="preserve">Account Reactivation Services: Win Back Clients | SalesRoads</t>
        </is>
      </c>
      <c r="D14" s="19" t="inlineStr">
        <is>
          <t xml:space="preserve">Turn dormant and lapsed accounts back into revenue with a dedicated reactivation team. Typical results and how the program works.</t>
        </is>
      </c>
      <c r="E14" s="19">
        <f>LEN(C14)</f>
        <v>60</v>
      </c>
      <c r="F14" s="19">
        <f>LEN(D14)</f>
        <v>129</v>
      </c>
    </row>
    <row r="15">
      <c r="A15" s="19" t="inlineStr">
        <is>
          <t xml:space="preserve">/saas-industry/</t>
        </is>
      </c>
      <c r="B15" s="19" t="inlineStr">
        <is>
          <t xml:space="preserve">SaaS Industry - Sales Outsourcing Company | Outsourced Sales Team Services - SalesRoads</t>
        </is>
      </c>
      <c r="C15" s="19" t="inlineStr">
        <is>
          <t xml:space="preserve">SaaS Appointment Setting &amp; Lead Generation | SalesRoads</t>
        </is>
      </c>
      <c r="D15" s="19" t="inlineStr">
        <is>
          <t xml:space="preserve">SDRs who understand SaaS buying committees and book demos with qualified decision-makers. See SaaS case studies and results.</t>
        </is>
      </c>
      <c r="E15" s="19">
        <f>LEN(C15)</f>
        <v>55</v>
      </c>
      <c r="F15" s="19">
        <f>LEN(D15)</f>
        <v>124</v>
      </c>
    </row>
    <row r="16">
      <c r="A16" s="19" t="inlineStr">
        <is>
          <t xml:space="preserve">/healthcare-industry/</t>
        </is>
      </c>
      <c r="B16" s="19" t="inlineStr">
        <is>
          <t xml:space="preserve">Healthcare Industry - Sales Outsourcing Company | Outsourced Sales Team Services - SalesRoads</t>
        </is>
      </c>
      <c r="C16" s="19" t="inlineStr">
        <is>
          <t xml:space="preserve">Healthcare Appointment Setting &amp; B2B Lead Gen | SalesRoads</t>
        </is>
      </c>
      <c r="D16" s="19" t="inlineStr">
        <is>
          <t xml:space="preserve">Reach decision-makers at IDNs, hospitals and private practices with SDRs trained in healthcare buying cycles. See healthcare case studies.</t>
        </is>
      </c>
      <c r="E16" s="19">
        <f>LEN(C16)</f>
        <v>58</v>
      </c>
      <c r="F16" s="19">
        <f>LEN(D16)</f>
        <v>138</v>
      </c>
    </row>
    <row r="17">
      <c r="A17" s="19" t="inlineStr">
        <is>
          <t xml:space="preserve">/manufacturing-industry-page/</t>
        </is>
      </c>
      <c r="B17" s="19" t="inlineStr">
        <is>
          <t xml:space="preserve">Manufacturing Industry Page - Sales Outsourcing Company | Outsourced Sales Team Services - SalesRoads</t>
        </is>
      </c>
      <c r="C17" s="19" t="inlineStr">
        <is>
          <t xml:space="preserve">Manufacturing Lead Generation &amp; Appointment Setting</t>
        </is>
      </c>
      <c r="D17" s="19" t="inlineStr">
        <is>
          <t xml:space="preserve">SDRs who speak the language of manufacturing, from the plant floor to procurement. Book meetings with engineering and ops buyers.</t>
        </is>
      </c>
      <c r="E17" s="19">
        <f>LEN(C17)</f>
        <v>51</v>
      </c>
      <c r="F17" s="19">
        <f>LEN(D17)</f>
        <v>129</v>
      </c>
    </row>
    <row r="18">
      <c r="A18" s="19" t="inlineStr">
        <is>
          <t xml:space="preserve">/fintech-industry/</t>
        </is>
      </c>
      <c r="B18" s="19" t="inlineStr">
        <is>
          <t xml:space="preserve">Fintech Industry - Sales Outsourcing Company | Outsourced Sales Team Services - SalesRoads</t>
        </is>
      </c>
      <c r="C18" s="19" t="inlineStr">
        <is>
          <t xml:space="preserve">Fintech Lead Generation &amp; Appointment Setting | SalesRoads</t>
        </is>
      </c>
      <c r="D18" s="19" t="inlineStr">
        <is>
          <t xml:space="preserve">Book meetings with banks, credit unions and fintech buyers. Compliance-aware SDRs with fintech case studies to prove it.</t>
        </is>
      </c>
      <c r="E18" s="19">
        <f>LEN(C18)</f>
        <v>58</v>
      </c>
      <c r="F18" s="19">
        <f>LEN(D18)</f>
        <v>120</v>
      </c>
    </row>
    <row r="19">
      <c r="A19" s="19" t="inlineStr">
        <is>
          <t xml:space="preserve">/fed-sled-industry/</t>
        </is>
      </c>
      <c r="B19" s="19" t="inlineStr">
        <is>
          <t xml:space="preserve">FED &amp; SLED Industry - Sales Outsourcing Company | Outsourced Sales Team Services - SalesRoads</t>
        </is>
      </c>
      <c r="C19" s="19" t="inlineStr">
        <is>
          <t xml:space="preserve">Government (FED &amp; SLED) Appointment Setting | SalesRoads</t>
        </is>
      </c>
      <c r="D19" s="19" t="inlineStr">
        <is>
          <t xml:space="preserve">Reach federal, state, local and education buyers. SDRs who navigate public-sector procurement and book qualified meetings.</t>
        </is>
      </c>
      <c r="E19" s="19">
        <f>LEN(C19)</f>
        <v>56</v>
      </c>
      <c r="F19" s="19">
        <f>LEN(D19)</f>
        <v>122</v>
      </c>
    </row>
    <row r="20">
      <c r="A20" s="19" t="inlineStr">
        <is>
          <t xml:space="preserve">/insurtech-industry-page/</t>
        </is>
      </c>
      <c r="B20" s="19" t="inlineStr">
        <is>
          <t xml:space="preserve">Insurtech Industry Page - Sales Outsourcing Company | Outsourced Sales Team Services - SalesRoads</t>
        </is>
      </c>
      <c r="C20" s="19" t="inlineStr">
        <is>
          <t xml:space="preserve">Insurtech Lead Generation &amp; Appointment Setting</t>
        </is>
      </c>
      <c r="D20" s="19" t="inlineStr">
        <is>
          <t xml:space="preserve">Book meetings with carriers, MGAs and agencies. SDRs experienced in insurtech sales cycles. See Bold Penguin and InnSure results.</t>
        </is>
      </c>
      <c r="E20" s="19">
        <f>LEN(C20)</f>
        <v>47</v>
      </c>
      <c r="F20" s="19">
        <f>LEN(D20)</f>
        <v>129</v>
      </c>
    </row>
    <row r="21">
      <c r="A21" s="19" t="inlineStr">
        <is>
          <t xml:space="preserve">/logistics-supply-chain-industry/</t>
        </is>
      </c>
      <c r="B21" s="19" t="inlineStr">
        <is>
          <t xml:space="preserve">Logistics &amp; Supply Chain Industry - Sales Outsourcing Company | Outsourced Sales Team Services - SalesRoads</t>
        </is>
      </c>
      <c r="C21" s="19" t="inlineStr">
        <is>
          <t xml:space="preserve">Logistics Lead Generation &amp; Appointment Setting</t>
        </is>
      </c>
      <c r="D21" s="19" t="inlineStr">
        <is>
          <t xml:space="preserve">Reach shippers, 3PLs and supply-chain leaders with SDRs who know the industry. See Unishippers results.</t>
        </is>
      </c>
      <c r="E21" s="19">
        <f>LEN(C21)</f>
        <v>47</v>
      </c>
      <c r="F21" s="19">
        <f>LEN(D21)</f>
        <v>103</v>
      </c>
    </row>
    <row r="22">
      <c r="A22" s="19" t="inlineStr">
        <is>
          <t xml:space="preserve">/compliance-services-industry-page/</t>
        </is>
      </c>
      <c r="B22" s="19" t="inlineStr">
        <is>
          <t xml:space="preserve">Compliance Services Industry Page - Sales Outsourcing Company | Outsourced Sales Team Services - SalesRoads</t>
        </is>
      </c>
      <c r="C22" s="19" t="inlineStr">
        <is>
          <t xml:space="preserve">Compliance Services Lead Generation | SalesRoads</t>
        </is>
      </c>
      <c r="D22" s="19" t="inlineStr">
        <is>
          <t xml:space="preserve">Book meetings with risk, legal and compliance buyers. See how SalesRoads delivered 807 opportunities for Protecht.</t>
        </is>
      </c>
      <c r="E22" s="19">
        <f>LEN(C22)</f>
        <v>48</v>
      </c>
      <c r="F22" s="19">
        <f>LEN(D22)</f>
        <v>114</v>
      </c>
    </row>
    <row r="23">
      <c r="A23" s="19" t="inlineStr">
        <is>
          <t xml:space="preserve">/all-industry-pages/ (&gt; /industries/)</t>
        </is>
      </c>
      <c r="B23" s="19" t="inlineStr">
        <is>
          <t xml:space="preserve">All Industry Pages - Sales Outsourcing Company | Outsourced Sales Team Services - SalesRoads</t>
        </is>
      </c>
      <c r="C23" s="19" t="inlineStr">
        <is>
          <t xml:space="preserve">Industries We Serve: B2B Appointment Setting | SalesRoads</t>
        </is>
      </c>
      <c r="D23" s="19" t="inlineStr">
        <is>
          <t xml:space="preserve">Appointment setting and lead generation tailored to SaaS, healthcare, fintech, manufacturing, government and more.</t>
        </is>
      </c>
      <c r="E23" s="19">
        <f>LEN(C23)</f>
        <v>57</v>
      </c>
      <c r="F23" s="19">
        <f>LEN(D23)</f>
        <v>114</v>
      </c>
    </row>
    <row r="24">
      <c r="A24" s="19" t="inlineStr">
        <is>
          <t xml:space="preserve">/client-success/</t>
        </is>
      </c>
      <c r="B24" s="19" t="inlineStr">
        <is>
          <t xml:space="preserve">Client Success</t>
        </is>
      </c>
      <c r="C24" s="19" t="inlineStr">
        <is>
          <t xml:space="preserve">Client Success Stories &amp; Case Studies | SalesRoads</t>
        </is>
      </c>
      <c r="D24" s="19" t="inlineStr">
        <is>
          <t xml:space="preserve">How SalesRoads booked 937 appointments for AchieveIt, 807 opportunities for Protecht and more. Browse results by industry.</t>
        </is>
      </c>
      <c r="E24" s="19">
        <f>LEN(C24)</f>
        <v>50</v>
      </c>
      <c r="F24" s="19">
        <f>LEN(D24)</f>
        <v>122</v>
      </c>
    </row>
    <row r="25">
      <c r="A25" s="19" t="inlineStr">
        <is>
          <t xml:space="preserve">/methodology/</t>
        </is>
      </c>
      <c r="B25" s="19" t="inlineStr">
        <is>
          <t xml:space="preserve">Methodology</t>
        </is>
      </c>
      <c r="C25" s="19" t="inlineStr">
        <is>
          <t xml:space="preserve">Our Outbound Sales Methodology | SalesRoads</t>
        </is>
      </c>
      <c r="D25" s="19" t="inlineStr">
        <is>
          <t xml:space="preserve">How we research, message, call and qualify to book meetings that close: the SalesRoads process, step by step.</t>
        </is>
      </c>
      <c r="E25" s="19">
        <f>LEN(C25)</f>
        <v>43</v>
      </c>
      <c r="F25" s="19">
        <f>LEN(D25)</f>
        <v>109</v>
      </c>
    </row>
    <row r="26">
      <c r="A26" s="19" t="inlineStr">
        <is>
          <t xml:space="preserve">/careers/</t>
        </is>
      </c>
      <c r="B26" s="19" t="inlineStr">
        <is>
          <t xml:space="preserve">Careers</t>
        </is>
      </c>
      <c r="C26" s="19" t="inlineStr">
        <is>
          <t xml:space="preserve">Sales Development Careers at SalesRoads</t>
        </is>
      </c>
      <c r="D26" s="19" t="inlineStr">
        <is>
          <t xml:space="preserve">Join a sales development team built for growth: training, coaching and a culture that feels like home. See open SDR roles.</t>
        </is>
      </c>
      <c r="E26" s="19">
        <f>LEN(C26)</f>
        <v>39</v>
      </c>
      <c r="F26" s="19">
        <f>LEN(D26)</f>
        <v>122</v>
      </c>
    </row>
    <row r="28">
      <c r="A28" s="17" t="inlineStr">
        <is>
          <t xml:space="preserve">Lengths over 60 (title) / 160 (meta) turn yellow. Check every proof point (client names, numbers, 'cancel anytime', Clutch rating) against current facts before publishing.</t>
        </is>
      </c>
    </row>
  </sheetData>
  <autoFilter ref="A1:F26"/>
  <mergeCells count="1">
    <mergeCell ref="A28:F28"/>
  </mergeCells>
  <conditionalFormatting sqref="E2:E26">
    <cfRule type="cellIs" priority="1" operator="greaterThan" dxfId="1">
      <formula>60</formula>
    </cfRule>
  </conditionalFormatting>
  <conditionalFormatting sqref="F2:F26">
    <cfRule type="cellIs" priority="2" operator="greaterThan" dxfId="1">
      <formula>160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7" customWidth="1"/>
    <col min="2" max="2" width="14" customWidth="1"/>
    <col min="3" max="3" width="42" customWidth="1"/>
    <col min="4" max="4" width="40" customWidth="1"/>
    <col min="5" max="5" width="15" customWidth="1"/>
    <col min="6" max="6" width="12" customWidth="1"/>
    <col min="7" max="7" width="60" customWidth="1"/>
    <col min="8" max="8" width="14" customWidth="1"/>
    <col min="9" max="9" width="13" customWidth="1"/>
  </cols>
  <sheetData>
    <row r="1">
      <c r="A1" s="18" t="inlineStr">
        <is>
          <t xml:space="preserve">Group</t>
        </is>
      </c>
      <c r="B1" s="18" t="inlineStr">
        <is>
          <t xml:space="preserve">Type</t>
        </is>
      </c>
      <c r="C1" s="18" t="inlineStr">
        <is>
          <t xml:space="preserve">Proposed URL</t>
        </is>
      </c>
      <c r="D1" s="18" t="inlineStr">
        <is>
          <t xml:space="preserve">Target queries</t>
        </is>
      </c>
      <c r="E1" s="18" t="inlineStr">
        <is>
          <t xml:space="preserve">Intent</t>
        </is>
      </c>
      <c r="F1" s="18" t="inlineStr">
        <is>
          <t xml:space="preserve">Priority</t>
        </is>
      </c>
      <c r="G1" s="18" t="inlineStr">
        <is>
          <t xml:space="preserve">Brief / key elements</t>
        </is>
      </c>
      <c r="H1" s="18" t="inlineStr">
        <is>
          <t xml:space="preserve">Owner</t>
        </is>
      </c>
      <c r="I1" s="18" t="inlineStr">
        <is>
          <t xml:space="preserve">Status</t>
        </is>
      </c>
    </row>
    <row r="2">
      <c r="A2" s="19" t="inlineStr">
        <is>
          <t xml:space="preserve">A</t>
        </is>
      </c>
      <c r="B2" s="19" t="inlineStr">
        <is>
          <t xml:space="preserve">Reviews</t>
        </is>
      </c>
      <c r="C2" s="19" t="inlineStr">
        <is>
          <t xml:space="preserve">/salesroads-reviews/ (or expand /reviews/)</t>
        </is>
      </c>
      <c r="D2" s="19" t="inlineStr">
        <is>
          <t xml:space="preserve">salesroads reviews; salesroads alternatives; salesroads pricing</t>
        </is>
      </c>
      <c r="E2" s="19" t="inlineStr">
        <is>
          <t xml:space="preserve">Commercial</t>
        </is>
      </c>
      <c r="F2" s="19" t="inlineStr">
        <is>
          <t xml:space="preserve">Critical</t>
        </is>
      </c>
      <c r="G2" s="19" t="inlineStr">
        <is>
          <t xml:space="preserve">Clutch/G2 ratings with links, current pricing, who SalesRoads is NOT a fit for, comparison on onshore reps, terms, reporting. WebPage + FAQPage schema.</t>
        </is>
      </c>
      <c r="H2" s="20" t="inlineStr">
        <is>
          <t xml:space="preserve"/>
        </is>
      </c>
      <c r="I2" s="20" t="inlineStr">
        <is>
          <t xml:space="preserve">Not started</t>
        </is>
      </c>
    </row>
    <row r="3">
      <c r="A3" s="19" t="inlineStr">
        <is>
          <t xml:space="preserve">A</t>
        </is>
      </c>
      <c r="B3" s="19" t="inlineStr">
        <is>
          <t xml:space="preserve">Comparison</t>
        </is>
      </c>
      <c r="C3" s="19" t="inlineStr">
        <is>
          <t xml:space="preserve">/compare/salesroads-vs-superhuman-prospecting</t>
        </is>
      </c>
      <c r="D3" s="19" t="inlineStr">
        <is>
          <t xml:space="preserve">superhuman prospecting alternative; vs salesroads</t>
        </is>
      </c>
      <c r="E3" s="19" t="inlineStr">
        <is>
          <t xml:space="preserve">Transactional</t>
        </is>
      </c>
      <c r="F3" s="19" t="inlineStr">
        <is>
          <t xml:space="preserve">Important</t>
        </is>
      </c>
      <c r="G3" s="19" t="inlineStr">
        <is>
          <t xml:space="preserve">Semrush #2 organic competitor (20% overlap). Feature/pricing/contract table, onshore vs offshore, minimum term, best-for.</t>
        </is>
      </c>
      <c r="H3" s="20" t="inlineStr">
        <is>
          <t xml:space="preserve"/>
        </is>
      </c>
      <c r="I3" s="20" t="inlineStr">
        <is>
          <t xml:space="preserve">Not started</t>
        </is>
      </c>
    </row>
    <row r="4">
      <c r="A4" s="19" t="inlineStr">
        <is>
          <t xml:space="preserve">A</t>
        </is>
      </c>
      <c r="B4" s="19" t="inlineStr">
        <is>
          <t xml:space="preserve">Comparison</t>
        </is>
      </c>
      <c r="C4" s="19" t="inlineStr">
        <is>
          <t xml:space="preserve">/compare/salesroads-vs-sales-focus</t>
        </is>
      </c>
      <c r="D4" s="19" t="inlineStr">
        <is>
          <t xml:space="preserve">sales focus inc alternative; vs salesroads</t>
        </is>
      </c>
      <c r="E4" s="19" t="inlineStr">
        <is>
          <t xml:space="preserve">Transactional</t>
        </is>
      </c>
      <c r="F4" s="19" t="inlineStr">
        <is>
          <t xml:space="preserve">Important</t>
        </is>
      </c>
      <c r="G4" s="19" t="inlineStr">
        <is>
          <t xml:space="preserve">Semrush #3 organic competitor (19%). Same template.</t>
        </is>
      </c>
      <c r="H4" s="20" t="inlineStr">
        <is>
          <t xml:space="preserve"/>
        </is>
      </c>
      <c r="I4" s="20" t="inlineStr">
        <is>
          <t xml:space="preserve">Not started</t>
        </is>
      </c>
    </row>
    <row r="5">
      <c r="A5" s="19" t="inlineStr">
        <is>
          <t xml:space="preserve">A</t>
        </is>
      </c>
      <c r="B5" s="19" t="inlineStr">
        <is>
          <t xml:space="preserve">Comparison</t>
        </is>
      </c>
      <c r="C5" s="19" t="inlineStr">
        <is>
          <t xml:space="preserve">/compare/salesroads-vs-salesbread</t>
        </is>
      </c>
      <c r="D5" s="19" t="inlineStr">
        <is>
          <t xml:space="preserve">salesbread alternative; vs salesroads</t>
        </is>
      </c>
      <c r="E5" s="19" t="inlineStr">
        <is>
          <t xml:space="preserve">Transactional</t>
        </is>
      </c>
      <c r="F5" s="19" t="inlineStr">
        <is>
          <t xml:space="preserve">Important</t>
        </is>
      </c>
      <c r="G5" s="19" t="inlineStr">
        <is>
          <t xml:space="preserve">Semrush #5 (15%); SalesBread publishes a SalesRoads review page. Same template.</t>
        </is>
      </c>
      <c r="H5" s="20" t="inlineStr">
        <is>
          <t xml:space="preserve"/>
        </is>
      </c>
      <c r="I5" s="20" t="inlineStr">
        <is>
          <t xml:space="preserve">Not started</t>
        </is>
      </c>
    </row>
    <row r="6">
      <c r="A6" s="19" t="inlineStr">
        <is>
          <t xml:space="preserve">A</t>
        </is>
      </c>
      <c r="B6" s="19" t="inlineStr">
        <is>
          <t xml:space="preserve">Comparison</t>
        </is>
      </c>
      <c r="C6" s="19" t="inlineStr">
        <is>
          <t xml:space="preserve">/compare/salesroads-vs-memoryblue</t>
        </is>
      </c>
      <c r="D6" s="19" t="inlineStr">
        <is>
          <t xml:space="preserve">memoryblue vs salesroads; memoryblue alternative</t>
        </is>
      </c>
      <c r="E6" s="19" t="inlineStr">
        <is>
          <t xml:space="preserve">Transactional</t>
        </is>
      </c>
      <c r="F6" s="19" t="inlineStr">
        <is>
          <t xml:space="preserve">Nice-to-have</t>
        </is>
      </c>
      <c r="G6" s="19" t="inlineStr">
        <is>
          <t xml:space="preserve">G2 hosts this comparison. Same template.</t>
        </is>
      </c>
      <c r="H6" s="20" t="inlineStr">
        <is>
          <t xml:space="preserve"/>
        </is>
      </c>
      <c r="I6" s="20" t="inlineStr">
        <is>
          <t xml:space="preserve">Not started</t>
        </is>
      </c>
    </row>
    <row r="7">
      <c r="A7" s="19" t="inlineStr">
        <is>
          <t xml:space="preserve">A</t>
        </is>
      </c>
      <c r="B7" s="19" t="inlineStr">
        <is>
          <t xml:space="preserve">Comparison</t>
        </is>
      </c>
      <c r="C7" s="19" t="inlineStr">
        <is>
          <t xml:space="preserve">/compare/salesroads-vs-saleshive</t>
        </is>
      </c>
      <c r="D7" s="19" t="inlineStr">
        <is>
          <t xml:space="preserve">saleshive vs salesroads; saleshive alternative</t>
        </is>
      </c>
      <c r="E7" s="19" t="inlineStr">
        <is>
          <t xml:space="preserve">Transactional</t>
        </is>
      </c>
      <c r="F7" s="19" t="inlineStr">
        <is>
          <t xml:space="preserve">Nice-to-have</t>
        </is>
      </c>
      <c r="G7" s="19" t="inlineStr">
        <is>
          <t xml:space="preserve">Same template.</t>
        </is>
      </c>
      <c r="H7" s="20" t="inlineStr">
        <is>
          <t xml:space="preserve"/>
        </is>
      </c>
      <c r="I7" s="20" t="inlineStr">
        <is>
          <t xml:space="preserve">Not started</t>
        </is>
      </c>
    </row>
    <row r="8">
      <c r="A8" s="19" t="inlineStr">
        <is>
          <t xml:space="preserve">A</t>
        </is>
      </c>
      <c r="B8" s="19" t="inlineStr">
        <is>
          <t xml:space="preserve">Comparison</t>
        </is>
      </c>
      <c r="C8" s="19" t="inlineStr">
        <is>
          <t xml:space="preserve">/compare/salesroads-vs-belkins</t>
        </is>
      </c>
      <c r="D8" s="19" t="inlineStr">
        <is>
          <t xml:space="preserve">belkins vs salesroads; belkins alternative</t>
        </is>
      </c>
      <c r="E8" s="19" t="inlineStr">
        <is>
          <t xml:space="preserve">Transactional</t>
        </is>
      </c>
      <c r="F8" s="19" t="inlineStr">
        <is>
          <t xml:space="preserve">Critical</t>
        </is>
      </c>
      <c r="G8" s="19" t="inlineStr">
        <is>
          <t xml:space="preserve">Semrush #1 organic competitor (27% overlap). Same template.</t>
        </is>
      </c>
      <c r="H8" s="20" t="inlineStr">
        <is>
          <t xml:space="preserve"/>
        </is>
      </c>
      <c r="I8" s="20" t="inlineStr">
        <is>
          <t xml:space="preserve">Not started</t>
        </is>
      </c>
    </row>
    <row r="9">
      <c r="A9" s="19" t="inlineStr">
        <is>
          <t xml:space="preserve">A</t>
        </is>
      </c>
      <c r="B9" s="19" t="inlineStr">
        <is>
          <t xml:space="preserve">Comparison</t>
        </is>
      </c>
      <c r="C9" s="19" t="inlineStr">
        <is>
          <t xml:space="preserve">/compare/salesroads-vs-callbox</t>
        </is>
      </c>
      <c r="D9" s="19" t="inlineStr">
        <is>
          <t xml:space="preserve">callbox vs salesroads; callbox alternative</t>
        </is>
      </c>
      <c r="E9" s="19" t="inlineStr">
        <is>
          <t xml:space="preserve">Transactional</t>
        </is>
      </c>
      <c r="F9" s="19" t="inlineStr">
        <is>
          <t xml:space="preserve">Important</t>
        </is>
      </c>
      <c r="G9" s="19" t="inlineStr">
        <is>
          <t xml:space="preserve">Same template.</t>
        </is>
      </c>
      <c r="H9" s="20" t="inlineStr">
        <is>
          <t xml:space="preserve"/>
        </is>
      </c>
      <c r="I9" s="20" t="inlineStr">
        <is>
          <t xml:space="preserve">Not started</t>
        </is>
      </c>
    </row>
    <row r="10">
      <c r="A10" s="19" t="inlineStr">
        <is>
          <t xml:space="preserve">A</t>
        </is>
      </c>
      <c r="B10" s="19" t="inlineStr">
        <is>
          <t xml:space="preserve">Comparison</t>
        </is>
      </c>
      <c r="C10" s="19" t="inlineStr">
        <is>
          <t xml:space="preserve">/compare/salesroads-vs-martal</t>
        </is>
      </c>
      <c r="D10" s="19" t="inlineStr">
        <is>
          <t xml:space="preserve">martal vs salesroads; martal group alternative</t>
        </is>
      </c>
      <c r="E10" s="19" t="inlineStr">
        <is>
          <t xml:space="preserve">Transactional</t>
        </is>
      </c>
      <c r="F10" s="19" t="inlineStr">
        <is>
          <t xml:space="preserve">Nice-to-have</t>
        </is>
      </c>
      <c r="G10" s="19" t="inlineStr">
        <is>
          <t xml:space="preserve">Same template.</t>
        </is>
      </c>
      <c r="H10" s="20" t="inlineStr">
        <is>
          <t xml:space="preserve"/>
        </is>
      </c>
      <c r="I10" s="20" t="inlineStr">
        <is>
          <t xml:space="preserve">Not started</t>
        </is>
      </c>
    </row>
    <row r="11">
      <c r="A11" s="19" t="inlineStr">
        <is>
          <t xml:space="preserve">B</t>
        </is>
      </c>
      <c r="B11" s="19" t="inlineStr">
        <is>
          <t xml:space="preserve">Pillar rebuild</t>
        </is>
      </c>
      <c r="C11" s="19" t="inlineStr">
        <is>
          <t xml:space="preserve">/appointment-setting-services/</t>
        </is>
      </c>
      <c r="D11" s="19" t="inlineStr">
        <is>
          <t xml:space="preserve">b2b appointment setting services; outsourced appointment setting; appointment setting company</t>
        </is>
      </c>
      <c r="E11" s="19" t="inlineStr">
        <is>
          <t xml:space="preserve">Commercial</t>
        </is>
      </c>
      <c r="F11" s="19" t="inlineStr">
        <is>
          <t xml:space="preserve">Critical</t>
        </is>
      </c>
      <c r="G11" s="19" t="inlineStr">
        <is>
          <t xml:space="preserve">Merge /outsourcing/outsourced-appointment-setting/ + /outsourcing/everything-to-know-about-b2b-appointment-setting/ (301). Add weeks 1-6 timeline, pricing summary, 3 case-study results, industries grid, FAQs. 2,000+ words unique.</t>
        </is>
      </c>
      <c r="H11" s="20" t="inlineStr">
        <is>
          <t xml:space="preserve"/>
        </is>
      </c>
      <c r="I11" s="20" t="inlineStr">
        <is>
          <t xml:space="preserve">Not started</t>
        </is>
      </c>
    </row>
    <row r="12">
      <c r="A12" s="19" t="inlineStr">
        <is>
          <t xml:space="preserve">B</t>
        </is>
      </c>
      <c r="B12" s="19" t="inlineStr">
        <is>
          <t xml:space="preserve">Pillar rebuild</t>
        </is>
      </c>
      <c r="C12" s="19" t="inlineStr">
        <is>
          <t xml:space="preserve">/outsourced-sdr-services/</t>
        </is>
      </c>
      <c r="D12" s="19" t="inlineStr">
        <is>
          <t xml:space="preserve">outsourced sdr services; sdr as a service; sdr outsourcing</t>
        </is>
      </c>
      <c r="E12" s="19" t="inlineStr">
        <is>
          <t xml:space="preserve">Commercial</t>
        </is>
      </c>
      <c r="F12" s="19" t="inlineStr">
        <is>
          <t xml:space="preserve">Critical</t>
        </is>
      </c>
      <c r="G12" s="19" t="inlineStr">
        <is>
          <t xml:space="preserve">Merge /outsourcing/sdr-outsourcing/ + /outsourcing/sales-development-services/. Add in-house vs outsourced SDR cost calculator (data from /outsourcing/in-house-sdr-costs/).</t>
        </is>
      </c>
      <c r="H12" s="20" t="inlineStr">
        <is>
          <t xml:space="preserve"/>
        </is>
      </c>
      <c r="I12" s="20" t="inlineStr">
        <is>
          <t xml:space="preserve">Not started</t>
        </is>
      </c>
    </row>
    <row r="13">
      <c r="A13" s="19" t="inlineStr">
        <is>
          <t xml:space="preserve">B</t>
        </is>
      </c>
      <c r="B13" s="19" t="inlineStr">
        <is>
          <t xml:space="preserve">Pillar rebuild</t>
        </is>
      </c>
      <c r="C13" s="19" t="inlineStr">
        <is>
          <t xml:space="preserve">/outbound-calling-services/</t>
        </is>
      </c>
      <c r="D13" s="19" t="inlineStr">
        <is>
          <t xml:space="preserve">b2b cold calling services; cold calling outsourcing</t>
        </is>
      </c>
      <c r="E13" s="19" t="inlineStr">
        <is>
          <t xml:space="preserve">Commercial</t>
        </is>
      </c>
      <c r="F13" s="19" t="inlineStr">
        <is>
          <t xml:space="preserve">Important</t>
        </is>
      </c>
      <c r="G13" s="19" t="inlineStr">
        <is>
          <t xml:space="preserve">One H1; process, call-quality controls, case results, FAQs.</t>
        </is>
      </c>
      <c r="H13" s="20" t="inlineStr">
        <is>
          <t xml:space="preserve"/>
        </is>
      </c>
      <c r="I13" s="20" t="inlineStr">
        <is>
          <t xml:space="preserve">Not started</t>
        </is>
      </c>
    </row>
    <row r="14">
      <c r="A14" s="19" t="inlineStr">
        <is>
          <t xml:space="preserve">B</t>
        </is>
      </c>
      <c r="B14" s="19" t="inlineStr">
        <is>
          <t xml:space="preserve">Guide</t>
        </is>
      </c>
      <c r="C14" s="19" t="inlineStr">
        <is>
          <t xml:space="preserve">/outsourcing/sales-outsourcing-pricing/ (keep URL)</t>
        </is>
      </c>
      <c r="D14" s="19" t="inlineStr">
        <is>
          <t xml:space="preserve">appointment setting cost; cost per appointment; appointment setting pricing</t>
        </is>
      </c>
      <c r="E14" s="19" t="inlineStr">
        <is>
          <t xml:space="preserve">Commercial / Info</t>
        </is>
      </c>
      <c r="F14" s="19" t="inlineStr">
        <is>
          <t xml:space="preserve">Critical</t>
        </is>
      </c>
      <c r="G14" s="19" t="inlineStr">
        <is>
          <t xml:space="preserve">Existing page has 31 kw (Semrush) – build on it. Merge /outsourcing/appointment-setting-pricing-models/ and /tactics/lead-generation-pricing/ into it. Pay-per-appointment vs retainer vs SDR pod, with SalesRoads' own price.</t>
        </is>
      </c>
      <c r="H14" s="20" t="inlineStr">
        <is>
          <t xml:space="preserve"/>
        </is>
      </c>
      <c r="I14" s="20" t="inlineStr">
        <is>
          <t xml:space="preserve">Not started</t>
        </is>
      </c>
    </row>
    <row r="15">
      <c r="A15" s="19" t="inlineStr">
        <is>
          <t xml:space="preserve">C</t>
        </is>
      </c>
      <c r="B15" s="19" t="inlineStr">
        <is>
          <t xml:space="preserve">Industry</t>
        </is>
      </c>
      <c r="C15" s="19" t="inlineStr">
        <is>
          <t xml:space="preserve">Existing 8 industry pages</t>
        </is>
      </c>
      <c r="D15" s="19" t="inlineStr">
        <is>
          <t xml:space="preserve">&lt;industry&gt; appointment setting; &lt;industry&gt; lead generation</t>
        </is>
      </c>
      <c r="E15" s="19" t="inlineStr">
        <is>
          <t xml:space="preserve">Commercial</t>
        </is>
      </c>
      <c r="F15" s="19" t="inlineStr">
        <is>
          <t xml:space="preserve">Important</t>
        </is>
      </c>
      <c r="G15" s="19" t="inlineStr">
        <is>
          <t xml:space="preserve">Keyword H1, 2 industry case studies, buyer titles, compliance notes, link to 'Best &lt;industry&gt; appointment setting companies' post.</t>
        </is>
      </c>
      <c r="H15" s="20" t="inlineStr">
        <is>
          <t xml:space="preserve"/>
        </is>
      </c>
      <c r="I15" s="20" t="inlineStr">
        <is>
          <t xml:space="preserve">Not started</t>
        </is>
      </c>
    </row>
    <row r="16">
      <c r="A16" s="19" t="inlineStr">
        <is>
          <t xml:space="preserve">C</t>
        </is>
      </c>
      <c r="B16" s="19" t="inlineStr">
        <is>
          <t xml:space="preserve">Industry</t>
        </is>
      </c>
      <c r="C16" s="19" t="inlineStr">
        <is>
          <t xml:space="preserve">/it-msp-industry/</t>
        </is>
      </c>
      <c r="D16" s="19" t="inlineStr">
        <is>
          <t xml:space="preserve">msp lead generation; it services appointment setting</t>
        </is>
      </c>
      <c r="E16" s="19" t="inlineStr">
        <is>
          <t xml:space="preserve">Commercial</t>
        </is>
      </c>
      <c r="F16" s="19" t="inlineStr">
        <is>
          <t xml:space="preserve">Nice-to-have</t>
        </is>
      </c>
      <c r="G16" s="19" t="inlineStr">
        <is>
          <t xml:space="preserve">Built from Crewhu and Pantheon case studies.</t>
        </is>
      </c>
      <c r="H16" s="20" t="inlineStr">
        <is>
          <t xml:space="preserve"/>
        </is>
      </c>
      <c r="I16" s="20" t="inlineStr">
        <is>
          <t xml:space="preserve">Not started</t>
        </is>
      </c>
    </row>
    <row r="17">
      <c r="A17" s="19" t="inlineStr">
        <is>
          <t xml:space="preserve">C</t>
        </is>
      </c>
      <c r="B17" s="19" t="inlineStr">
        <is>
          <t xml:space="preserve">Industry</t>
        </is>
      </c>
      <c r="C17" s="19" t="inlineStr">
        <is>
          <t xml:space="preserve">/professional-services-industry/</t>
        </is>
      </c>
      <c r="D17" s="19" t="inlineStr">
        <is>
          <t xml:space="preserve">aec lead generation; professional services appointment setting</t>
        </is>
      </c>
      <c r="E17" s="19" t="inlineStr">
        <is>
          <t xml:space="preserve">Commercial</t>
        </is>
      </c>
      <c r="F17" s="19" t="inlineStr">
        <is>
          <t xml:space="preserve">Nice-to-have</t>
        </is>
      </c>
      <c r="G17" s="19" t="inlineStr">
        <is>
          <t xml:space="preserve">Built from Factor case study.</t>
        </is>
      </c>
      <c r="H17" s="20" t="inlineStr">
        <is>
          <t xml:space="preserve"/>
        </is>
      </c>
      <c r="I17" s="20" t="inlineStr">
        <is>
          <t xml:space="preserve">Not started</t>
        </is>
      </c>
    </row>
    <row r="18">
      <c r="A18" s="19" t="inlineStr">
        <is>
          <t xml:space="preserve">C</t>
        </is>
      </c>
      <c r="B18" s="19" t="inlineStr">
        <is>
          <t xml:space="preserve">Industry</t>
        </is>
      </c>
      <c r="C18" s="19" t="inlineStr">
        <is>
          <t xml:space="preserve">/hr-tech-staffing-industry/</t>
        </is>
      </c>
      <c r="D18" s="19" t="inlineStr">
        <is>
          <t xml:space="preserve">hr tech lead generation; staffing appointment setting</t>
        </is>
      </c>
      <c r="E18" s="19" t="inlineStr">
        <is>
          <t xml:space="preserve">Commercial</t>
        </is>
      </c>
      <c r="F18" s="19" t="inlineStr">
        <is>
          <t xml:space="preserve">Nice-to-have</t>
        </is>
      </c>
      <c r="G18" s="19" t="inlineStr">
        <is>
          <t xml:space="preserve">Built from Paylocity and Beneflex case studies.</t>
        </is>
      </c>
      <c r="H18" s="20" t="inlineStr">
        <is>
          <t xml:space="preserve"/>
        </is>
      </c>
      <c r="I18" s="20" t="inlineStr">
        <is>
          <t xml:space="preserve">Not started</t>
        </is>
      </c>
    </row>
    <row r="19">
      <c r="A19" s="19" t="inlineStr">
        <is>
          <t xml:space="preserve">D</t>
        </is>
      </c>
      <c r="B19" s="19" t="inlineStr">
        <is>
          <t xml:space="preserve">Hub</t>
        </is>
      </c>
      <c r="C19" s="19" t="inlineStr">
        <is>
          <t xml:space="preserve">/case-studies/</t>
        </is>
      </c>
      <c r="D19" s="19" t="inlineStr">
        <is>
          <t xml:space="preserve">b2b appointment setting case study; outsourced sdr results</t>
        </is>
      </c>
      <c r="E19" s="19" t="inlineStr">
        <is>
          <t xml:space="preserve">Commercial</t>
        </is>
      </c>
      <c r="F19" s="19" t="inlineStr">
        <is>
          <t xml:space="preserve">Important</t>
        </is>
      </c>
      <c r="G19" s="19" t="inlineStr">
        <is>
          <t xml:space="preserve">Filterable by industry/service; expand thin studies (Copperweld, Factor, Agility, Safecor, Shell) with metrics.</t>
        </is>
      </c>
      <c r="H19" s="20" t="inlineStr">
        <is>
          <t xml:space="preserve"/>
        </is>
      </c>
      <c r="I19" s="20" t="inlineStr">
        <is>
          <t xml:space="preserve">Not started</t>
        </is>
      </c>
    </row>
    <row r="20">
      <c r="A20" s="19" t="inlineStr">
        <is>
          <t xml:space="preserve">D</t>
        </is>
      </c>
      <c r="B20" s="19" t="inlineStr">
        <is>
          <t xml:space="preserve">Hub</t>
        </is>
      </c>
      <c r="C20" s="19" t="inlineStr">
        <is>
          <t xml:space="preserve">/industries/ (from /all-industry-pages/)</t>
        </is>
      </c>
      <c r="D20" s="19" t="inlineStr">
        <is>
          <t xml:space="preserve">industries; b2b appointment setting by industry</t>
        </is>
      </c>
      <c r="E20" s="19" t="inlineStr">
        <is>
          <t xml:space="preserve">Navigational</t>
        </is>
      </c>
      <c r="F20" s="19" t="inlineStr">
        <is>
          <t xml:space="preserve">Important</t>
        </is>
      </c>
      <c r="G20" s="19" t="inlineStr">
        <is>
          <t xml:space="preserve">Real H1 + intro; 301 from old URL.</t>
        </is>
      </c>
      <c r="H20" s="20" t="inlineStr">
        <is>
          <t xml:space="preserve"/>
        </is>
      </c>
      <c r="I20" s="20" t="inlineStr">
        <is>
          <t xml:space="preserve">Not started</t>
        </is>
      </c>
    </row>
    <row r="21">
      <c r="A21" s="19" t="inlineStr">
        <is>
          <t xml:space="preserve">D</t>
        </is>
      </c>
      <c r="B21" s="19" t="inlineStr">
        <is>
          <t xml:space="preserve">Podcast</t>
        </is>
      </c>
      <c r="C21" s="19" t="inlineStr">
        <is>
          <t xml:space="preserve">/podcast/* (42 episodes)</t>
        </is>
      </c>
      <c r="D21" s="19" t="inlineStr">
        <is>
          <t xml:space="preserve">&lt;guest&gt; podcast; sales leadership podcast</t>
        </is>
      </c>
      <c r="E21" s="19" t="inlineStr">
        <is>
          <t xml:space="preserve">Informational</t>
        </is>
      </c>
      <c r="F21" s="19" t="inlineStr">
        <is>
          <t xml:space="preserve">Nice-to-have</t>
        </is>
      </c>
      <c r="G21" s="19" t="inlineStr">
        <is>
          <t xml:space="preserve">300-600 word summary, takeaways, transcript, meta description per episode.</t>
        </is>
      </c>
      <c r="H21" s="20" t="inlineStr">
        <is>
          <t xml:space="preserve"/>
        </is>
      </c>
      <c r="I21" s="20" t="inlineStr">
        <is>
          <t xml:space="preserve">Not started</t>
        </is>
      </c>
    </row>
    <row r="23">
      <c r="A23" s="17" t="inlineStr">
        <is>
          <t xml:space="preserve">Groups: A = brand &amp; comparison, B = service pillars &amp; cost guide, C = industries, D = hubs &amp; podcast.</t>
        </is>
      </c>
    </row>
  </sheetData>
  <autoFilter ref="A1:I21"/>
  <conditionalFormatting sqref="F2:F21">
    <cfRule type="cellIs" priority="1" operator="equal" dxfId="0">
      <formula>"Critical"</formula>
    </cfRule>
    <cfRule type="cellIs" priority="2" operator="equal" dxfId="1">
      <formula>"Important"</formula>
    </cfRule>
    <cfRule type="cellIs" priority="3" operator="equal" dxfId="2">
      <formula>"Nice-to-have"</formula>
    </cfRule>
  </conditionalFormatting>
  <dataValidations count="2">
    <dataValidation type="list" allowBlank="1" showErrorMessage="1" sqref="I2:I21">
      <formula1>"Not started,Briefed,Drafting,Published"</formula1>
    </dataValidation>
    <dataValidation type="list" allowBlank="1" showErrorMessage="1" sqref="F2:F21">
      <formula1>"Critical,Important,Nice-to-have"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70" customWidth="1"/>
    <col min="2" max="2" width="22" customWidth="1"/>
    <col min="3" max="3" width="80" customWidth="1"/>
    <col min="4" max="4" width="9" customWidth="1"/>
  </cols>
  <sheetData>
    <row r="1">
      <c r="A1" s="18" t="inlineStr">
        <is>
          <t xml:space="preserve">URL</t>
        </is>
      </c>
      <c r="B1" s="18" t="inlineStr">
        <is>
          <t xml:space="preserve">Action</t>
        </is>
      </c>
      <c r="C1" s="18" t="inlineStr">
        <is>
          <t xml:space="preserve">Notes</t>
        </is>
      </c>
      <c r="D1" s="18" t="inlineStr">
        <is>
          <t xml:space="preserve">Done?</t>
        </is>
      </c>
    </row>
    <row r="2">
      <c r="A2" s="19" t="inlineStr">
        <is>
          <t xml:space="preserve">/outsourcing/lead-generation-services/</t>
        </is>
      </c>
      <c r="B2" s="19" t="inlineStr">
        <is>
          <t xml:space="preserve">Merge</t>
        </is>
      </c>
      <c r="C2" s="19" t="inlineStr">
        <is>
          <t xml:space="preserve">301 into /lead-generation-services/ (same slug as the service page) or rename to /outsourcing/outbound-lead-generation-guide/</t>
        </is>
      </c>
      <c r="D2" s="20" t="inlineStr">
        <is>
          <t xml:space="preserve"/>
        </is>
      </c>
    </row>
    <row r="3">
      <c r="A3" s="19" t="inlineStr">
        <is>
          <t xml:space="preserve">/outsourcing/outsourced-lead-generation/</t>
        </is>
      </c>
      <c r="B3" s="19" t="inlineStr">
        <is>
          <t xml:space="preserve">Re-angle</t>
        </is>
      </c>
      <c r="C3" s="19" t="inlineStr">
        <is>
          <t xml:space="preserve">Informational ('guide to outsourcing lead gen'); link to /lead-generation-services/</t>
        </is>
      </c>
      <c r="D3" s="20" t="inlineStr">
        <is>
          <t xml:space="preserve"/>
        </is>
      </c>
    </row>
    <row r="4">
      <c r="A4" s="19" t="inlineStr">
        <is>
          <t xml:space="preserve">/outsourcing/outsource-lead-generation/</t>
        </is>
      </c>
      <c r="B4" s="19" t="inlineStr">
        <is>
          <t xml:space="preserve">Merge</t>
        </is>
      </c>
      <c r="C4" s="19" t="inlineStr">
        <is>
          <t xml:space="preserve">301 into /outsourcing/outsourced-lead-generation/</t>
        </is>
      </c>
      <c r="D4" s="20" t="inlineStr">
        <is>
          <t xml:space="preserve"/>
        </is>
      </c>
    </row>
    <row r="5">
      <c r="A5" s="19" t="inlineStr">
        <is>
          <t xml:space="preserve">/outsourcing/outsourced-appointment-setting/</t>
        </is>
      </c>
      <c r="B5" s="19" t="inlineStr">
        <is>
          <t xml:space="preserve">Keep + re-angle</t>
        </is>
      </c>
      <c r="C5" s="19" t="inlineStr">
        <is>
          <t xml:space="preserve">Semrush: 2.7% of traffic, 27 kw. Re-angle to informational (what it is, pros/cons) and link to /appointment-setting-services/. Merge only if GSC shows both URLs swapping on the same queries.</t>
        </is>
      </c>
      <c r="D5" s="20" t="inlineStr">
        <is>
          <t xml:space="preserve"/>
        </is>
      </c>
    </row>
    <row r="6">
      <c r="A6" s="19" t="inlineStr">
        <is>
          <t xml:space="preserve">/outsourcing/everything-to-know-about-b2b-appointment-setting/</t>
        </is>
      </c>
      <c r="B6" s="19" t="inlineStr">
        <is>
          <t xml:space="preserve">Merge</t>
        </is>
      </c>
      <c r="C6" s="19" t="inlineStr">
        <is>
          <t xml:space="preserve">301 into /appointment-setting-services/</t>
        </is>
      </c>
      <c r="D6" s="20" t="inlineStr">
        <is>
          <t xml:space="preserve"/>
        </is>
      </c>
    </row>
    <row r="7">
      <c r="A7" s="19" t="inlineStr">
        <is>
          <t xml:space="preserve">/outsourcing/call-center-appointment-setting/</t>
        </is>
      </c>
      <c r="B7" s="19" t="inlineStr">
        <is>
          <t xml:space="preserve">Re-angle</t>
        </is>
      </c>
      <c r="C7" s="19" t="inlineStr">
        <is>
          <t xml:space="preserve">Keep as call-center angle; link to service page</t>
        </is>
      </c>
      <c r="D7" s="20" t="inlineStr">
        <is>
          <t xml:space="preserve"/>
        </is>
      </c>
    </row>
    <row r="8">
      <c r="A8" s="19" t="inlineStr">
        <is>
          <t xml:space="preserve">/outsourcing/sdr-outsourcing/</t>
        </is>
      </c>
      <c r="B8" s="19" t="inlineStr">
        <is>
          <t xml:space="preserve">Merge</t>
        </is>
      </c>
      <c r="C8" s="19" t="inlineStr">
        <is>
          <t xml:space="preserve">301 into /outsourced-sdr-services/</t>
        </is>
      </c>
      <c r="D8" s="20" t="inlineStr">
        <is>
          <t xml:space="preserve"/>
        </is>
      </c>
    </row>
    <row r="9">
      <c r="A9" s="19" t="inlineStr">
        <is>
          <t xml:space="preserve">/outsourcing/sales-development-services/</t>
        </is>
      </c>
      <c r="B9" s="19" t="inlineStr">
        <is>
          <t xml:space="preserve">Merge</t>
        </is>
      </c>
      <c r="C9" s="19" t="inlineStr">
        <is>
          <t xml:space="preserve">301 into /outsourced-sdr-services/</t>
        </is>
      </c>
      <c r="D9" s="20" t="inlineStr">
        <is>
          <t xml:space="preserve"/>
        </is>
      </c>
    </row>
    <row r="10">
      <c r="A10" s="19" t="inlineStr">
        <is>
          <t xml:space="preserve">/outsourcing/sales-outsourcing-pricing/</t>
        </is>
      </c>
      <c r="B10" s="19" t="inlineStr">
        <is>
          <t xml:space="preserve">Keep (survivor)</t>
        </is>
      </c>
      <c r="C10" s="19" t="inlineStr">
        <is>
          <t xml:space="preserve">Semrush: 31 kw. Becomes the cost guide; keep URL</t>
        </is>
      </c>
      <c r="D10" s="20" t="inlineStr">
        <is>
          <t xml:space="preserve"/>
        </is>
      </c>
    </row>
    <row r="11">
      <c r="A11" s="19" t="inlineStr">
        <is>
          <t xml:space="preserve">/outsourcing/appointment-setting-pricing-models/</t>
        </is>
      </c>
      <c r="B11" s="19" t="inlineStr">
        <is>
          <t xml:space="preserve">Merge</t>
        </is>
      </c>
      <c r="C11" s="19" t="inlineStr">
        <is>
          <t xml:space="preserve">301 into /outsourcing/sales-outsourcing-pricing/</t>
        </is>
      </c>
      <c r="D11" s="20" t="inlineStr">
        <is>
          <t xml:space="preserve"/>
        </is>
      </c>
    </row>
    <row r="12">
      <c r="A12" s="19" t="inlineStr">
        <is>
          <t xml:space="preserve">/tactics/lead-generation-pricing/</t>
        </is>
      </c>
      <c r="B12" s="19" t="inlineStr">
        <is>
          <t xml:space="preserve">Merge</t>
        </is>
      </c>
      <c r="C12" s="19" t="inlineStr">
        <is>
          <t xml:space="preserve">301 into /outsourcing/sales-outsourcing-pricing/</t>
        </is>
      </c>
      <c r="D12" s="20" t="inlineStr">
        <is>
          <t xml:space="preserve"/>
        </is>
      </c>
    </row>
    <row r="13">
      <c r="A13" s="19" t="inlineStr">
        <is>
          <t xml:space="preserve">/outsourcing/how-much-does-salesroads-sales-outsourcing-actually-cost/</t>
        </is>
      </c>
      <c r="B13" s="19" t="inlineStr">
        <is>
          <t xml:space="preserve">Keep + link</t>
        </is>
      </c>
      <c r="C13" s="19" t="inlineStr">
        <is>
          <t xml:space="preserve">Brand pricing explainer; add meta description; link to /pricing/</t>
        </is>
      </c>
      <c r="D13" s="20" t="inlineStr">
        <is>
          <t xml:space="preserve"/>
        </is>
      </c>
    </row>
    <row r="14">
      <c r="A14" s="19" t="inlineStr">
        <is>
          <t xml:space="preserve">/outsourcing/lead-generation-vs-appointment-setting/</t>
        </is>
      </c>
      <c r="B14" s="19" t="inlineStr">
        <is>
          <t xml:space="preserve">Keep (survivor)</t>
        </is>
      </c>
      <c r="C14" s="19" t="inlineStr">
        <is>
          <t xml:space="preserve">Semrush: only one of the three ranking (11 kw)</t>
        </is>
      </c>
      <c r="D14" s="20" t="inlineStr">
        <is>
          <t xml:space="preserve"/>
        </is>
      </c>
    </row>
    <row r="15">
      <c r="A15" s="19" t="inlineStr">
        <is>
          <t xml:space="preserve">/tactics/lead-generation-vs-appointment-setting-whats-the-difference/</t>
        </is>
      </c>
      <c r="B15" s="19" t="inlineStr">
        <is>
          <t xml:space="preserve">Merge</t>
        </is>
      </c>
      <c r="C15" s="19" t="inlineStr">
        <is>
          <t xml:space="preserve">301 into /outsourcing/lead-generation-vs-appointment-setting/</t>
        </is>
      </c>
      <c r="D15" s="20" t="inlineStr">
        <is>
          <t xml:space="preserve"/>
        </is>
      </c>
    </row>
    <row r="16">
      <c r="A16" s="19" t="inlineStr">
        <is>
          <t xml:space="preserve">/outsourcing/salesroads-program-appointment-setting-or-lead-generation/</t>
        </is>
      </c>
      <c r="B16" s="19" t="inlineStr">
        <is>
          <t xml:space="preserve">Merge</t>
        </is>
      </c>
      <c r="C16" s="19" t="inlineStr">
        <is>
          <t xml:space="preserve">301 into the same vs guide (add 'which SalesRoads program' section)</t>
        </is>
      </c>
      <c r="D16" s="20" t="inlineStr">
        <is>
          <t xml:space="preserve"/>
        </is>
      </c>
    </row>
    <row r="17">
      <c r="A17" s="19" t="inlineStr">
        <is>
          <t xml:space="preserve">/tactics/ultimate-guide-lead-generation/</t>
        </is>
      </c>
      <c r="B17" s="19" t="inlineStr">
        <is>
          <t xml:space="preserve">Merge</t>
        </is>
      </c>
      <c r="C17" s="19" t="inlineStr">
        <is>
          <t xml:space="preserve">Pick one lead-gen pillar with /tactics/lead-generation/, /tactics/b2b-lead-generation/, /tactics/b2b-lead-generation-meaning/</t>
        </is>
      </c>
      <c r="D17" s="20" t="inlineStr">
        <is>
          <t xml:space="preserve"/>
        </is>
      </c>
    </row>
    <row r="18">
      <c r="A18" s="19" t="inlineStr">
        <is>
          <t xml:space="preserve">/tactics/generating-b2b-leads/</t>
        </is>
      </c>
      <c r="B18" s="19" t="inlineStr">
        <is>
          <t xml:space="preserve">Keep (survivor) + refresh</t>
        </is>
      </c>
      <c r="C18" s="19" t="inlineStr">
        <is>
          <t xml:space="preserve">Semrush: 2.0% of traffic, 61 kw; drop '(2024 Update)' from title</t>
        </is>
      </c>
      <c r="D18" s="20" t="inlineStr">
        <is>
          <t xml:space="preserve"/>
        </is>
      </c>
    </row>
    <row r="19">
      <c r="A19" s="19" t="inlineStr">
        <is>
          <t xml:space="preserve">/tactics/lead-generation-tips/</t>
        </is>
      </c>
      <c r="B19" s="19" t="inlineStr">
        <is>
          <t xml:space="preserve">Merge</t>
        </is>
      </c>
      <c r="C19" s="19" t="inlineStr">
        <is>
          <t xml:space="preserve">301 into /tactics/generating-b2b-leads/</t>
        </is>
      </c>
      <c r="D19" s="20" t="inlineStr">
        <is>
          <t xml:space="preserve"/>
        </is>
      </c>
    </row>
    <row r="20">
      <c r="A20" s="19" t="inlineStr">
        <is>
          <t xml:space="preserve">/tactics/b2b-lead-generation-tips/</t>
        </is>
      </c>
      <c r="B20" s="19" t="inlineStr">
        <is>
          <t xml:space="preserve">Merge</t>
        </is>
      </c>
      <c r="C20" s="19" t="inlineStr">
        <is>
          <t xml:space="preserve">301 into /tactics/generating-b2b-leads/</t>
        </is>
      </c>
      <c r="D20" s="20" t="inlineStr">
        <is>
          <t xml:space="preserve"/>
        </is>
      </c>
    </row>
    <row r="21">
      <c r="A21" s="19" t="inlineStr">
        <is>
          <t xml:space="preserve">/tactics/lead-generation-strategies/</t>
        </is>
      </c>
      <c r="B21" s="19" t="inlineStr">
        <is>
          <t xml:space="preserve">Merge</t>
        </is>
      </c>
      <c r="C21" s="19" t="inlineStr">
        <is>
          <t xml:space="preserve">301 into /tactics/b2b-lead-generation-strategies/</t>
        </is>
      </c>
      <c r="D21" s="20" t="inlineStr">
        <is>
          <t xml:space="preserve"/>
        </is>
      </c>
    </row>
    <row r="22">
      <c r="A22" s="19" t="inlineStr">
        <is>
          <t xml:space="preserve">/tactics/b2b-cold-calling-script/</t>
        </is>
      </c>
      <c r="B22" s="19" t="inlineStr">
        <is>
          <t xml:space="preserve">Merge</t>
        </is>
      </c>
      <c r="C22" s="19" t="inlineStr">
        <is>
          <t xml:space="preserve">Merge with /tactics/cold-calling-scripts/</t>
        </is>
      </c>
      <c r="D22" s="20" t="inlineStr">
        <is>
          <t xml:space="preserve"/>
        </is>
      </c>
    </row>
    <row r="23">
      <c r="A23" s="19" t="inlineStr">
        <is>
          <t xml:space="preserve">/tactics/cold-calling-questions/</t>
        </is>
      </c>
      <c r="B23" s="19" t="inlineStr">
        <is>
          <t xml:space="preserve">Merge</t>
        </is>
      </c>
      <c r="C23" s="19" t="inlineStr">
        <is>
          <t xml:space="preserve">301 into /tactics/cold-call-questions/ (the one that ranks)</t>
        </is>
      </c>
      <c r="D23" s="20" t="inlineStr">
        <is>
          <t xml:space="preserve"/>
        </is>
      </c>
    </row>
    <row r="24">
      <c r="A24" s="19" t="inlineStr">
        <is>
          <t xml:space="preserve">/tactics/lead-gen-funnel-template/</t>
        </is>
      </c>
      <c r="B24" s="19" t="inlineStr">
        <is>
          <t xml:space="preserve">Merge</t>
        </is>
      </c>
      <c r="C24" s="19" t="inlineStr">
        <is>
          <t xml:space="preserve">Merge with /tactics/lead-generation-funnel/</t>
        </is>
      </c>
      <c r="D24" s="20" t="inlineStr">
        <is>
          <t xml:space="preserve"/>
        </is>
      </c>
    </row>
    <row r="25">
      <c r="A25" s="19" t="inlineStr">
        <is>
          <t xml:space="preserve">/tactics/lead-generation-campaign/</t>
        </is>
      </c>
      <c r="B25" s="19" t="inlineStr">
        <is>
          <t xml:space="preserve">Merge</t>
        </is>
      </c>
      <c r="C25" s="19" t="inlineStr">
        <is>
          <t xml:space="preserve">301 into /tactics/building-a-lead-generation-campaign/ (118 kw vs 6)</t>
        </is>
      </c>
      <c r="D25" s="20" t="inlineStr">
        <is>
          <t xml:space="preserve"/>
        </is>
      </c>
    </row>
    <row r="26">
      <c r="A26" s="19" t="inlineStr">
        <is>
          <t xml:space="preserve">/leadership/lead-generation-courses/</t>
        </is>
      </c>
      <c r="B26" s="19" t="inlineStr">
        <is>
          <t xml:space="preserve">Refresh</t>
        </is>
      </c>
      <c r="C26" s="19" t="inlineStr">
        <is>
          <t xml:space="preserve">Title '2024: 9 Best B2B Lead Generation Courses' – update list and year</t>
        </is>
      </c>
      <c r="D26" s="20" t="inlineStr">
        <is>
          <t xml:space="preserve"/>
        </is>
      </c>
    </row>
    <row r="27">
      <c r="A27" s="19" t="inlineStr">
        <is>
          <t xml:space="preserve">/tactics/cold-calling-effectiveness/</t>
        </is>
      </c>
      <c r="B27" s="19" t="inlineStr">
        <is>
          <t xml:space="preserve">Refresh</t>
        </is>
      </c>
      <c r="C27" s="19" t="inlineStr">
        <is>
          <t xml:space="preserve">'Is Cold Calling Still Effective in 2024?' – update data and year</t>
        </is>
      </c>
      <c r="D27" s="20" t="inlineStr">
        <is>
          <t xml:space="preserve"/>
        </is>
      </c>
    </row>
    <row r="28">
      <c r="A28" s="19" t="inlineStr">
        <is>
          <t xml:space="preserve">/leadership/lead-generation-specialist-salary/</t>
        </is>
      </c>
      <c r="B28" s="19" t="inlineStr">
        <is>
          <t xml:space="preserve">Refresh</t>
        </is>
      </c>
      <c r="C28" s="19" t="inlineStr">
        <is>
          <t xml:space="preserve">'Updated 2024' – refresh salary data</t>
        </is>
      </c>
      <c r="D28" s="20" t="inlineStr">
        <is>
          <t xml:space="preserve"/>
        </is>
      </c>
    </row>
    <row r="29">
      <c r="A29" s="19" t="inlineStr">
        <is>
          <t xml:space="preserve">/leadership/sales-and-business-development-courses/</t>
        </is>
      </c>
      <c r="B29" s="19" t="inlineStr">
        <is>
          <t xml:space="preserve">Refresh in place</t>
        </is>
      </c>
      <c r="C29" s="19" t="inlineStr">
        <is>
          <t xml:space="preserve">110 referring domains – update list + year; NEVER change URL; add links to service pages</t>
        </is>
      </c>
      <c r="D29" s="20" t="inlineStr">
        <is>
          <t xml:space="preserve"/>
        </is>
      </c>
    </row>
    <row r="30">
      <c r="A30" s="19" t="inlineStr">
        <is>
          <t xml:space="preserve">/leadership/ai-in-sales/</t>
        </is>
      </c>
      <c r="B30" s="19" t="inlineStr">
        <is>
          <t xml:space="preserve">Keep + link</t>
        </is>
      </c>
      <c r="C30" s="19" t="inlineStr">
        <is>
          <t xml:space="preserve">146 referring domains – add contextual links to SDR / appointment-setting / cold-calling service pages</t>
        </is>
      </c>
      <c r="D30" s="20" t="inlineStr">
        <is>
          <t xml:space="preserve"/>
        </is>
      </c>
    </row>
    <row r="31">
      <c r="A31" s="19" t="inlineStr">
        <is>
          <t xml:space="preserve">/tactics/qualifying-leads-definition/</t>
        </is>
      </c>
      <c r="B31" s="19" t="inlineStr">
        <is>
          <t xml:space="preserve">Keep + CTA</t>
        </is>
      </c>
      <c r="C31" s="19" t="inlineStr">
        <is>
          <t xml:space="preserve">6.0% of traffic, #2 'define qualify' – add lead-gen service CTA</t>
        </is>
      </c>
      <c r="D31" s="20" t="inlineStr">
        <is>
          <t xml:space="preserve"/>
        </is>
      </c>
    </row>
    <row r="32">
      <c r="A32" s="19" t="inlineStr">
        <is>
          <t xml:space="preserve">/leadership/appointment-setting-job-description/</t>
        </is>
      </c>
      <c r="B32" s="19" t="inlineStr">
        <is>
          <t xml:space="preserve">Keep + CTA</t>
        </is>
      </c>
      <c r="C32" s="19" t="inlineStr">
        <is>
          <t xml:space="preserve">1.7% of traffic – add 'Hiring an SDR? Compare costs' box</t>
        </is>
      </c>
      <c r="D32" s="20" t="inlineStr">
        <is>
          <t xml:space="preserve"/>
        </is>
      </c>
    </row>
    <row r="33">
      <c r="A33" s="19" t="inlineStr">
        <is>
          <t xml:space="preserve">/leadership/lead-generation-job-description/</t>
        </is>
      </c>
      <c r="B33" s="19" t="inlineStr">
        <is>
          <t xml:space="preserve">Keep + CTA</t>
        </is>
      </c>
      <c r="C33" s="19" t="inlineStr">
        <is>
          <t xml:space="preserve">1.2% of traffic – same CTA</t>
        </is>
      </c>
      <c r="D33" s="20" t="inlineStr">
        <is>
          <t xml:space="preserve"/>
        </is>
      </c>
    </row>
    <row r="34">
      <c r="A34" s="19" t="inlineStr">
        <is>
          <t xml:space="preserve">/leadership/business-development-and-sales-manager-job-description/</t>
        </is>
      </c>
      <c r="B34" s="19" t="inlineStr">
        <is>
          <t xml:space="preserve">Keep + CTA</t>
        </is>
      </c>
      <c r="C34" s="19" t="inlineStr">
        <is>
          <t xml:space="preserve">0.7% of traffic; new #13 'manager in business development' (3.6K/mo)</t>
        </is>
      </c>
      <c r="D34" s="20" t="inlineStr">
        <is>
          <t xml:space="preserve"/>
        </is>
      </c>
    </row>
    <row r="35">
      <c r="A35" s="19" t="inlineStr">
        <is>
          <t xml:space="preserve">/leadership/sales-development-career/</t>
        </is>
      </c>
      <c r="B35" s="19" t="inlineStr">
        <is>
          <t xml:space="preserve">Refresh</t>
        </is>
      </c>
      <c r="C35" s="19" t="inlineStr">
        <is>
          <t xml:space="preserve">'…in 2024' – update</t>
        </is>
      </c>
      <c r="D35" s="20" t="inlineStr">
        <is>
          <t xml:space="preserve"/>
        </is>
      </c>
    </row>
    <row r="36">
      <c r="A36" s="19" t="inlineStr">
        <is>
          <t xml:space="preserve">/tactics/lead-generation-examples/</t>
        </is>
      </c>
      <c r="B36" s="19" t="inlineStr">
        <is>
          <t xml:space="preserve">Refresh</t>
        </is>
      </c>
      <c r="C36" s="19" t="inlineStr">
        <is>
          <t xml:space="preserve">'…in 2024' – update</t>
        </is>
      </c>
      <c r="D36" s="20" t="inlineStr">
        <is>
          <t xml:space="preserve"/>
        </is>
      </c>
    </row>
    <row r="37">
      <c r="A37" s="19" t="inlineStr">
        <is>
          <t xml:space="preserve">/leadership/best-sales-podcasts/</t>
        </is>
      </c>
      <c r="B37" s="19" t="inlineStr">
        <is>
          <t xml:space="preserve">Refresh</t>
        </is>
      </c>
      <c r="C37" s="19" t="inlineStr">
        <is>
          <t xml:space="preserve">'2024' – update; feature own podcast</t>
        </is>
      </c>
      <c r="D37" s="20" t="inlineStr">
        <is>
          <t xml:space="preserve"/>
        </is>
      </c>
    </row>
    <row r="38">
      <c r="A38" s="19" t="inlineStr">
        <is>
          <t xml:space="preserve">/tactics/social-selling-strategies/</t>
        </is>
      </c>
      <c r="B38" s="19" t="inlineStr">
        <is>
          <t xml:space="preserve">Refresh</t>
        </is>
      </c>
      <c r="C38" s="19" t="inlineStr">
        <is>
          <t xml:space="preserve">'…in 2023' – update</t>
        </is>
      </c>
      <c r="D38" s="20" t="inlineStr">
        <is>
          <t xml:space="preserve"/>
        </is>
      </c>
    </row>
    <row r="39">
      <c r="A39" s="19" t="inlineStr">
        <is>
          <t xml:space="preserve">/podcast/best-sales-and-leadership-strategies-for-2024/</t>
        </is>
      </c>
      <c r="B39" s="19" t="inlineStr">
        <is>
          <t xml:space="preserve">Fix</t>
        </is>
      </c>
      <c r="C39" s="19" t="inlineStr">
        <is>
          <t xml:space="preserve">Title says 2025, URL says 2024 – align</t>
        </is>
      </c>
      <c r="D39" s="20" t="inlineStr">
        <is>
          <t xml:space="preserve"/>
        </is>
      </c>
    </row>
    <row r="40">
      <c r="A40" s="19" t="inlineStr">
        <is>
          <t xml:space="preserve">/leadership/sdr-resume-guide/</t>
        </is>
      </c>
      <c r="B40" s="19" t="inlineStr">
        <is>
          <t xml:space="preserve">Keep for recruiting or prune</t>
        </is>
      </c>
      <c r="C40" s="19" t="inlineStr">
        <is>
          <t xml:space="preserve">Job-seeker intent; link to /careers/ if kept</t>
        </is>
      </c>
      <c r="D40" s="20" t="inlineStr">
        <is>
          <t xml:space="preserve"/>
        </is>
      </c>
    </row>
    <row r="41">
      <c r="A41" s="19" t="inlineStr">
        <is>
          <t xml:space="preserve">/leadership/sdr-cover-letter-sample/</t>
        </is>
      </c>
      <c r="B41" s="19" t="inlineStr">
        <is>
          <t xml:space="preserve">Keep for recruiting or prune</t>
        </is>
      </c>
      <c r="C41" s="19" t="inlineStr">
        <is>
          <t xml:space="preserve">Job-seeker intent</t>
        </is>
      </c>
      <c r="D41" s="20" t="inlineStr">
        <is>
          <t xml:space="preserve"/>
        </is>
      </c>
    </row>
    <row r="42">
      <c r="A42" s="19" t="inlineStr">
        <is>
          <t xml:space="preserve">/leadership/appointment-setting-jobs/</t>
        </is>
      </c>
      <c r="B42" s="19" t="inlineStr">
        <is>
          <t xml:space="preserve">Keep for recruiting</t>
        </is>
      </c>
      <c r="C42" s="19" t="inlineStr">
        <is>
          <t xml:space="preserve">Has traffic (11 kw); link to /careers/</t>
        </is>
      </c>
      <c r="D42" s="20" t="inlineStr">
        <is>
          <t xml:space="preserve"/>
        </is>
      </c>
    </row>
    <row r="43">
      <c r="A43" s="19" t="inlineStr">
        <is>
          <t xml:space="preserve">/leadership/lead-generation-interview-questions/</t>
        </is>
      </c>
      <c r="B43" s="19" t="inlineStr">
        <is>
          <t xml:space="preserve">Keep for recruiting</t>
        </is>
      </c>
      <c r="C43" s="19" t="inlineStr">
        <is>
          <t xml:space="preserve">Has traffic (5 kw); link to /careers/</t>
        </is>
      </c>
      <c r="D43" s="20" t="inlineStr">
        <is>
          <t xml:space="preserve"/>
        </is>
      </c>
    </row>
    <row r="44">
      <c r="A44" s="19" t="inlineStr">
        <is>
          <t xml:space="preserve">/leadership/appointment-setting-quotes/</t>
        </is>
      </c>
      <c r="B44" s="19" t="inlineStr">
        <is>
          <t xml:space="preserve">Prune or merge</t>
        </is>
      </c>
      <c r="C44" s="19" t="inlineStr">
        <is>
          <t xml:space="preserve">Low buyer value</t>
        </is>
      </c>
      <c r="D44" s="20" t="inlineStr">
        <is>
          <t xml:space="preserve"/>
        </is>
      </c>
    </row>
    <row r="45">
      <c r="A45" s="19" t="inlineStr">
        <is>
          <t xml:space="preserve">/leadership/the-3-ai-lessons-every-sales-leader-needs-to-learn-right-now/</t>
        </is>
      </c>
      <c r="B45" s="19" t="inlineStr">
        <is>
          <t xml:space="preserve">Publish or remove</t>
        </is>
      </c>
      <c r="C45" s="19" t="inlineStr">
        <is>
          <t xml:space="preserve">Noindex but internally linked</t>
        </is>
      </c>
      <c r="D45" s="20" t="inlineStr">
        <is>
          <t xml:space="preserve"/>
        </is>
      </c>
    </row>
    <row r="47">
      <c r="A47" s="17" t="inlineStr">
        <is>
          <t xml:space="preserve">Before merging, check GSC clicks and Ahrefs backlinks for each URL and keep the stronger one; always 301 the merged URL.</t>
        </is>
      </c>
    </row>
  </sheetData>
  <autoFilter ref="A1:D45"/>
  <dataValidations count="1">
    <dataValidation type="list" allowBlank="1" showErrorMessage="1" sqref="D2:D45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0" customWidth="1"/>
    <col min="2" max="2" width="62" customWidth="1"/>
    <col min="3" max="3" width="18" customWidth="1"/>
    <col min="4" max="4" width="32" customWidth="1"/>
    <col min="5" max="5" width="15" customWidth="1"/>
    <col min="6" max="6" width="17" customWidth="1"/>
    <col min="7" max="7" width="22" customWidth="1"/>
  </cols>
  <sheetData>
    <row r="1">
      <c r="A1" s="18" t="inlineStr">
        <is>
          <t xml:space="preserve">Cluster</t>
        </is>
      </c>
      <c r="B1" s="18" t="inlineStr">
        <is>
          <t xml:space="preserve">Example queries</t>
        </is>
      </c>
      <c r="C1" s="18" t="inlineStr">
        <is>
          <t xml:space="preserve">Intent</t>
        </is>
      </c>
      <c r="D1" s="18" t="inlineStr">
        <is>
          <t xml:space="preserve">Target page</t>
        </is>
      </c>
      <c r="E1" s="18" t="inlineStr">
        <is>
          <t xml:space="preserve">Monthly volume</t>
        </is>
      </c>
      <c r="F1" s="18" t="inlineStr">
        <is>
          <t xml:space="preserve">Keyword difficulty</t>
        </is>
      </c>
      <c r="G1" s="18" t="inlineStr">
        <is>
          <t xml:space="preserve">Current rank</t>
        </is>
      </c>
    </row>
    <row r="2">
      <c r="A2" s="19" t="inlineStr">
        <is>
          <t xml:space="preserve">Appointment setting</t>
        </is>
      </c>
      <c r="B2" s="19" t="inlineStr">
        <is>
          <t xml:space="preserve">b2b appointment setting services; outsourced appointment setting; appointment setting company</t>
        </is>
      </c>
      <c r="C2" s="19" t="inlineStr">
        <is>
          <t xml:space="preserve">Commercial</t>
        </is>
      </c>
      <c r="D2" s="19" t="inlineStr">
        <is>
          <t xml:space="preserve">/appointment-setting-services/</t>
        </is>
      </c>
      <c r="E2" s="20" t="inlineStr">
        <is>
          <t xml:space="preserve"/>
        </is>
      </c>
      <c r="F2" s="20" t="inlineStr">
        <is>
          <t xml:space="preserve"/>
        </is>
      </c>
      <c r="G2" s="20" t="inlineStr">
        <is>
          <t xml:space="preserve">Not in top 9 (sample)</t>
        </is>
      </c>
    </row>
    <row r="3">
      <c r="A3" s="19" t="inlineStr">
        <is>
          <t xml:space="preserve">SDR outsourcing</t>
        </is>
      </c>
      <c r="B3" s="19" t="inlineStr">
        <is>
          <t xml:space="preserve">outsourced sdr services; sdr as a service; top outsourced sdr providers for b2b sales</t>
        </is>
      </c>
      <c r="C3" s="19" t="inlineStr">
        <is>
          <t xml:space="preserve">Commercial</t>
        </is>
      </c>
      <c r="D3" s="19" t="inlineStr">
        <is>
          <t xml:space="preserve">/outsourced-sdr-services/</t>
        </is>
      </c>
      <c r="E3" s="20" t="inlineStr">
        <is>
          <t xml:space="preserve"/>
        </is>
      </c>
      <c r="F3" s="20" t="inlineStr">
        <is>
          <t xml:space="preserve"/>
        </is>
      </c>
      <c r="G3" s="20" t="inlineStr">
        <is>
          <t xml:space="preserve">Not in top 9 (sample); 'top outsourced sdr providers' #23 (home) and #61 (service page)</t>
        </is>
      </c>
    </row>
    <row r="4">
      <c r="A4" s="19" t="inlineStr">
        <is>
          <t xml:space="preserve">Cold calling</t>
        </is>
      </c>
      <c r="B4" s="19" t="inlineStr">
        <is>
          <t xml:space="preserve">b2b cold calling services; cold calling outsourcing; cold calling company</t>
        </is>
      </c>
      <c r="C4" s="19" t="inlineStr">
        <is>
          <t xml:space="preserve">Commercial</t>
        </is>
      </c>
      <c r="D4" s="19" t="inlineStr">
        <is>
          <t xml:space="preserve">/outbound-calling-services/</t>
        </is>
      </c>
      <c r="E4" s="20" t="inlineStr">
        <is>
          <t xml:space="preserve"/>
        </is>
      </c>
      <c r="F4" s="20" t="inlineStr">
        <is>
          <t xml:space="preserve"/>
        </is>
      </c>
      <c r="G4" s="20" t="inlineStr">
        <is>
          <t xml:space="preserve">Not in top 9 (sample)</t>
        </is>
      </c>
    </row>
    <row r="5">
      <c r="A5" s="19" t="inlineStr">
        <is>
          <t xml:space="preserve">Lead generation</t>
        </is>
      </c>
      <c r="B5" s="19" t="inlineStr">
        <is>
          <t xml:space="preserve">lead generation services (6,600/mo); lead generation companies (4,400/mo); outsourced lead generation</t>
        </is>
      </c>
      <c r="C5" s="19" t="inlineStr">
        <is>
          <t xml:space="preserve">Commercial</t>
        </is>
      </c>
      <c r="D5" s="19" t="inlineStr">
        <is>
          <t xml:space="preserve">/lead-generation-services/</t>
        </is>
      </c>
      <c r="E5" s="20" t="inlineStr">
        <is>
          <t xml:space="preserve"/>
        </is>
      </c>
      <c r="F5" s="20" t="inlineStr">
        <is>
          <t xml:space="preserve"/>
        </is>
      </c>
      <c r="G5" s="20" t="inlineStr">
        <is>
          <t xml:space="preserve">Ranks with SERP feature (Semrush); 21% of traffic</t>
        </is>
      </c>
    </row>
    <row r="6">
      <c r="A6" s="19" t="inlineStr">
        <is>
          <t xml:space="preserve">Sales outsourcing</t>
        </is>
      </c>
      <c r="B6" s="19" t="inlineStr">
        <is>
          <t xml:space="preserve">sales outsourcing company; outsourced sales team; b2b telesales companies</t>
        </is>
      </c>
      <c r="C6" s="19" t="inlineStr">
        <is>
          <t xml:space="preserve">Commercial</t>
        </is>
      </c>
      <c r="D6" s="19" t="inlineStr">
        <is>
          <t xml:space="preserve">/</t>
        </is>
      </c>
      <c r="E6" s="20" t="inlineStr">
        <is>
          <t xml:space="preserve"/>
        </is>
      </c>
      <c r="F6" s="20" t="inlineStr">
        <is>
          <t xml:space="preserve"/>
        </is>
      </c>
      <c r="G6" s="20" t="inlineStr">
        <is>
          <t xml:space="preserve">Page 1 (sample); 'b2b telesales companies' #49</t>
        </is>
      </c>
    </row>
    <row r="7">
      <c r="A7" s="19" t="inlineStr">
        <is>
          <t xml:space="preserve">Pricing / cost</t>
        </is>
      </c>
      <c r="B7" s="19" t="inlineStr">
        <is>
          <t xml:space="preserve">appointment setting cost; cost per appointment; sales outsourcing cost; sdr cost</t>
        </is>
      </c>
      <c r="C7" s="19" t="inlineStr">
        <is>
          <t xml:space="preserve">Commercial / Info</t>
        </is>
      </c>
      <c r="D7" s="19" t="inlineStr">
        <is>
          <t xml:space="preserve">/pricing/ + cost guide</t>
        </is>
      </c>
      <c r="E7" s="20" t="inlineStr">
        <is>
          <t xml:space="preserve"/>
        </is>
      </c>
      <c r="F7" s="20" t="inlineStr">
        <is>
          <t xml:space="preserve"/>
        </is>
      </c>
      <c r="G7" s="20" t="inlineStr">
        <is>
          <t xml:space="preserve">Not in top 9 (sample)</t>
        </is>
      </c>
    </row>
    <row r="8">
      <c r="A8" s="19" t="inlineStr">
        <is>
          <t xml:space="preserve">Brand / comparison</t>
        </is>
      </c>
      <c r="B8" s="19" t="inlineStr">
        <is>
          <t xml:space="preserve">salesroads reviews; salesroads alternatives; &lt;competitor&gt; vs salesroads</t>
        </is>
      </c>
      <c r="C8" s="19" t="inlineStr">
        <is>
          <t xml:space="preserve">Transactional</t>
        </is>
      </c>
      <c r="D8" s="19" t="inlineStr">
        <is>
          <t xml:space="preserve">Reviews page + /compare/*</t>
        </is>
      </c>
      <c r="E8" s="20" t="inlineStr">
        <is>
          <t xml:space="preserve"/>
        </is>
      </c>
      <c r="F8" s="20" t="inlineStr">
        <is>
          <t xml:space="preserve"/>
        </is>
      </c>
      <c r="G8" s="20" t="inlineStr">
        <is>
          <t xml:space="preserve">Third parties own SERP</t>
        </is>
      </c>
    </row>
    <row r="9">
      <c r="A9" s="19" t="inlineStr">
        <is>
          <t xml:space="preserve">Industry</t>
        </is>
      </c>
      <c r="B9" s="19" t="inlineStr">
        <is>
          <t xml:space="preserve">saas / healthcare / fintech / manufacturing / government appointment setting</t>
        </is>
      </c>
      <c r="C9" s="19" t="inlineStr">
        <is>
          <t xml:space="preserve">Commercial</t>
        </is>
      </c>
      <c r="D9" s="19" t="inlineStr">
        <is>
          <t xml:space="preserve">Industry pages</t>
        </is>
      </c>
      <c r="E9" s="20" t="inlineStr">
        <is>
          <t xml:space="preserve"/>
        </is>
      </c>
      <c r="F9" s="20" t="inlineStr">
        <is>
          <t xml:space="preserve"/>
        </is>
      </c>
      <c r="G9" s="20" t="inlineStr">
        <is>
          <t xml:space="preserve"/>
        </is>
      </c>
    </row>
    <row r="10">
      <c r="A10" s="19" t="inlineStr">
        <is>
          <t xml:space="preserve">Cold calling how-to</t>
        </is>
      </c>
      <c r="B10" s="19" t="inlineStr">
        <is>
          <t xml:space="preserve">cold calling scripts; cold call opening lines; cold calling objections</t>
        </is>
      </c>
      <c r="C10" s="19" t="inlineStr">
        <is>
          <t xml:space="preserve">Informational</t>
        </is>
      </c>
      <c r="D10" s="19" t="inlineStr">
        <is>
          <t xml:space="preserve">/tactics/cold-calling-scripts/ etc.</t>
        </is>
      </c>
      <c r="E10" s="20" t="inlineStr">
        <is>
          <t xml:space="preserve"/>
        </is>
      </c>
      <c r="F10" s="20" t="inlineStr">
        <is>
          <t xml:space="preserve"/>
        </is>
      </c>
      <c r="G10" s="20" t="inlineStr">
        <is>
          <t xml:space="preserve"/>
        </is>
      </c>
    </row>
    <row r="11">
      <c r="A11" s="19" t="inlineStr">
        <is>
          <t xml:space="preserve">SDR management</t>
        </is>
      </c>
      <c r="B11" s="19" t="inlineStr">
        <is>
          <t xml:space="preserve">sdr metrics; sdr onboarding; sdr vs bdr; sdr ae (70/mo); sdr salary</t>
        </is>
      </c>
      <c r="C11" s="19" t="inlineStr">
        <is>
          <t xml:space="preserve">Informational</t>
        </is>
      </c>
      <c r="D11" s="19" t="inlineStr">
        <is>
          <t xml:space="preserve">/leadership/* posts</t>
        </is>
      </c>
      <c r="E11" s="20" t="inlineStr">
        <is>
          <t xml:space="preserve"/>
        </is>
      </c>
      <c r="F11" s="20" t="inlineStr">
        <is>
          <t xml:space="preserve"/>
        </is>
      </c>
      <c r="G11" s="20" t="inlineStr">
        <is>
          <t xml:space="preserve">'sdr ae' #23</t>
        </is>
      </c>
    </row>
    <row r="12">
      <c r="A12" s="19" t="inlineStr">
        <is>
          <t xml:space="preserve">Hiring / job descriptions</t>
        </is>
      </c>
      <c r="B12" s="19" t="inlineStr">
        <is>
          <t xml:space="preserve">appointment setter job description; lead generation job description; manager in business development (3,600/mo)</t>
        </is>
      </c>
      <c r="C12" s="19" t="inlineStr">
        <is>
          <t xml:space="preserve">Info (hiring managers)</t>
        </is>
      </c>
      <c r="D12" s="19" t="inlineStr">
        <is>
          <t xml:space="preserve">/leadership/*-job-description/</t>
        </is>
      </c>
      <c r="E12" s="20" t="inlineStr">
        <is>
          <t xml:space="preserve"/>
        </is>
      </c>
      <c r="F12" s="20" t="inlineStr">
        <is>
          <t xml:space="preserve"/>
        </is>
      </c>
      <c r="G12" s="20" t="inlineStr">
        <is>
          <t xml:space="preserve">'manager in business development' #13; 3 posts = 3.6% of traffic</t>
        </is>
      </c>
    </row>
    <row r="13">
      <c r="A13" s="19" t="inlineStr">
        <is>
          <t xml:space="preserve">Definitions</t>
        </is>
      </c>
      <c r="B13" s="19" t="inlineStr">
        <is>
          <t xml:space="preserve">define qualify (2,900/mo); sales executive meaning</t>
        </is>
      </c>
      <c r="C13" s="19" t="inlineStr">
        <is>
          <t xml:space="preserve">Informational</t>
        </is>
      </c>
      <c r="D13" s="19" t="inlineStr">
        <is>
          <t xml:space="preserve">/tactics/qualifying-leads-definition/, /leadership/sales-executive-meaning/</t>
        </is>
      </c>
      <c r="E13" s="20" t="inlineStr">
        <is>
          <t xml:space="preserve"/>
        </is>
      </c>
      <c r="F13" s="20" t="inlineStr">
        <is>
          <t xml:space="preserve"/>
        </is>
      </c>
      <c r="G13" s="20" t="inlineStr">
        <is>
          <t xml:space="preserve">'define qualify' #2</t>
        </is>
      </c>
    </row>
    <row r="15">
      <c r="A15" s="17" t="inlineStr">
        <is>
          <t xml:space="preserve">Volumes and difficulty: fill from Semrush / Ahrefs / Google Keyword Planner. 'Current rank' notes come from a single SERP sample on 2026-10-01; replace with tracked positions.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/>
  </sheetViews>
  <sheetFormatPr baseColWidth="8" defaultRowHeight="15"/>
  <cols>
    <col min="1" max="1" width="52" customWidth="1"/>
    <col min="2" max="2" width="16" customWidth="1"/>
    <col min="3" max="3" width="14" customWidth="1"/>
    <col min="4" max="4" width="12" customWidth="1"/>
    <col min="5" max="5" width="12" customWidth="1"/>
    <col min="6" max="6" width="16" customWidth="1"/>
    <col min="7" max="7" width="60" customWidth="1"/>
  </cols>
  <sheetData>
    <row r="1">
      <c r="A1" s="16" t="inlineStr">
        <is>
          <t xml:space="preserve">Semrush Data – salesroads.com (US, desktop, exports dated 2026-10-01)</t>
        </is>
      </c>
    </row>
    <row r="2">
      <c r="A2" s="17" t="inlineStr">
        <is>
          <t xml:space="preserve">Source: client-provided Semrush Domain Overview, Organic Research: Pages and Organic Position Changes exports. Peak traffic is read from the trend chart (approximate).</t>
        </is>
      </c>
    </row>
    <row r="4">
      <c r="A4" s="18" t="inlineStr">
        <is>
          <t xml:space="preserve">Metric</t>
        </is>
      </c>
      <c r="B4" s="18" t="inlineStr">
        <is>
          <t xml:space="preserve">Value</t>
        </is>
      </c>
      <c r="C4" s="18" t="inlineStr">
        <is>
          <t xml:space="preserve"/>
        </is>
      </c>
      <c r="D4" s="18" t="inlineStr">
        <is>
          <t xml:space="preserve"/>
        </is>
      </c>
      <c r="E4" s="18" t="inlineStr">
        <is>
          <t xml:space="preserve"/>
        </is>
      </c>
      <c r="F4" s="18" t="inlineStr">
        <is>
          <t xml:space="preserve"/>
        </is>
      </c>
      <c r="G4" s="18" t="inlineStr">
        <is>
          <t xml:space="preserve">Note</t>
        </is>
      </c>
    </row>
    <row r="5">
      <c r="A5" s="19" t="inlineStr">
        <is>
          <t xml:space="preserve">Organic traffic / month</t>
        </is>
      </c>
      <c r="B5" s="19">
        <v>3100</v>
      </c>
      <c r="G5" s="19" t="inlineStr">
        <is>
          <t xml:space="preserve">+6% MoM; ~40% below 2025 peak (~5.5K)</t>
        </is>
      </c>
    </row>
    <row r="6">
      <c r="A6" s="19" t="inlineStr">
        <is>
          <t xml:space="preserve">2025 peak traffic (approx.)</t>
        </is>
      </c>
      <c r="B6" s="19">
        <v>5500</v>
      </c>
      <c r="G6" s="19" t="inlineStr">
        <is>
          <t xml:space="preserve">Read from Semrush trend chart</t>
        </is>
      </c>
    </row>
    <row r="7">
      <c r="A7" s="19" t="inlineStr">
        <is>
          <t xml:space="preserve">Ranking keywords</t>
        </is>
      </c>
      <c r="B7" s="19">
        <v>4083</v>
      </c>
      <c r="G7" s="19" t="inlineStr">
        <is>
          <t xml:space="preserve">72.7% informational, 21.9% commercial, 3.5% transactional</t>
        </is>
      </c>
    </row>
    <row r="8">
      <c r="A8" s="19" t="inlineStr">
        <is>
          <t xml:space="preserve">Keywords in positions 1-3</t>
        </is>
      </c>
      <c r="B8" s="19">
        <v>85</v>
      </c>
      <c r="G8" s="19" t="inlineStr">
        <is>
          <t xml:space="preserve"/>
        </is>
      </c>
    </row>
    <row r="9">
      <c r="A9" s="19" t="inlineStr">
        <is>
          <t xml:space="preserve">Keywords in positions 4-10</t>
        </is>
      </c>
      <c r="B9" s="19">
        <v>285</v>
      </c>
      <c r="G9" s="19" t="inlineStr">
        <is>
          <t xml:space="preserve"/>
        </is>
      </c>
    </row>
    <row r="10">
      <c r="A10" s="19" t="inlineStr">
        <is>
          <t xml:space="preserve">Keywords in positions 11-20</t>
        </is>
      </c>
      <c r="B10" s="19">
        <v>453</v>
      </c>
      <c r="G10" s="19" t="inlineStr">
        <is>
          <t xml:space="preserve">Striking distance – refresh these first</t>
        </is>
      </c>
    </row>
    <row r="11">
      <c r="A11" s="19" t="inlineStr">
        <is>
          <t xml:space="preserve">Backlinks</t>
        </is>
      </c>
      <c r="B11" s="19">
        <v>12000</v>
      </c>
      <c r="G11" s="19" t="inlineStr">
        <is>
          <t xml:space="preserve">60% follow</t>
        </is>
      </c>
    </row>
    <row r="12">
      <c r="A12" s="19" t="inlineStr">
        <is>
          <t xml:space="preserve">Referring domains</t>
        </is>
      </c>
      <c r="B12" s="19">
        <v>2000</v>
      </c>
      <c r="G12" s="19" t="inlineStr">
        <is>
          <t xml:space="preserve">Top referrers are directories/list sites</t>
        </is>
      </c>
    </row>
    <row r="13">
      <c r="A13" s="19" t="inlineStr">
        <is>
          <t xml:space="preserve">Branded traffic share</t>
        </is>
      </c>
      <c r="B13" s="9">
        <v>0.229</v>
      </c>
      <c r="G13" s="19" t="inlineStr">
        <is>
          <t xml:space="preserve">45 branded keywords, 718 visits</t>
        </is>
      </c>
    </row>
    <row r="14">
      <c r="A14" s="19" t="inlineStr">
        <is>
          <t xml:space="preserve">Paid keywords</t>
        </is>
      </c>
      <c r="B14" s="19">
        <v>0</v>
      </c>
      <c r="G14" s="19" t="inlineStr">
        <is>
          <t xml:space="preserve">No Google Ads</t>
        </is>
      </c>
    </row>
    <row r="15">
      <c r="A15" s="19" t="inlineStr">
        <is>
          <t xml:space="preserve">Change from peak</t>
        </is>
      </c>
      <c r="B15" s="9">
        <f>IF(B6=0,0,B5/B6-1)</f>
        <v>-0.4364</v>
      </c>
      <c r="G15" s="19" t="inlineStr">
        <is>
          <t xml:space="preserve">Formula: current / peak - 1</t>
        </is>
      </c>
    </row>
    <row r="17">
      <c r="A17" s="5" t="inlineStr">
        <is>
          <t xml:space="preserve">Top pages by share of organic traffic</t>
        </is>
      </c>
    </row>
    <row r="18">
      <c r="A18" s="18" t="inlineStr">
        <is>
          <t xml:space="preserve">URL</t>
        </is>
      </c>
      <c r="B18" s="18" t="inlineStr">
        <is>
          <t xml:space="preserve">Traffic %</t>
        </is>
      </c>
      <c r="C18" s="18" t="inlineStr">
        <is>
          <t xml:space="preserve">Keywords</t>
        </is>
      </c>
      <c r="D18" s="18" t="inlineStr">
        <is>
          <t xml:space="preserve"/>
        </is>
      </c>
      <c r="E18" s="18" t="inlineStr">
        <is>
          <t xml:space="preserve"/>
        </is>
      </c>
      <c r="F18" s="18" t="inlineStr">
        <is>
          <t xml:space="preserve"/>
        </is>
      </c>
      <c r="G18" s="18" t="inlineStr">
        <is>
          <t xml:space="preserve">Note</t>
        </is>
      </c>
    </row>
    <row r="19">
      <c r="A19" s="19" t="inlineStr">
        <is>
          <t xml:space="preserve">/</t>
        </is>
      </c>
      <c r="B19" s="9">
        <v>0.2557</v>
      </c>
      <c r="C19" s="19">
        <v>386</v>
      </c>
      <c r="G19" s="19" t="inlineStr">
        <is>
          <t xml:space="preserve"/>
        </is>
      </c>
    </row>
    <row r="20">
      <c r="A20" s="19" t="inlineStr">
        <is>
          <t xml:space="preserve">/lead-generation-services/</t>
        </is>
      </c>
      <c r="B20" s="9">
        <v>0.2133</v>
      </c>
      <c r="C20" s="19">
        <v>165</v>
      </c>
      <c r="G20" s="19" t="inlineStr">
        <is>
          <t xml:space="preserve">Protect – see C-10 redirect chains</t>
        </is>
      </c>
    </row>
    <row r="21">
      <c r="A21" s="19" t="inlineStr">
        <is>
          <t xml:space="preserve">https://www.salesroads.com/</t>
        </is>
      </c>
      <c r="B21" s="9">
        <v>0.1195</v>
      </c>
      <c r="C21" s="19">
        <v>34</v>
      </c>
      <c r="G21" s="19" t="inlineStr">
        <is>
          <t xml:space="preserve">Separate www homepage – see C-09</t>
        </is>
      </c>
    </row>
    <row r="22">
      <c r="A22" s="19" t="inlineStr">
        <is>
          <t xml:space="preserve">/appointment-setting-services/</t>
        </is>
      </c>
      <c r="B22" s="9">
        <v>0.1001</v>
      </c>
      <c r="C22" s="19">
        <v>152</v>
      </c>
      <c r="G22" s="19" t="inlineStr">
        <is>
          <t xml:space="preserve"/>
        </is>
      </c>
    </row>
    <row r="23">
      <c r="A23" s="19" t="inlineStr">
        <is>
          <t xml:space="preserve">/tactics/qualifying-leads-definition/</t>
        </is>
      </c>
      <c r="B23" s="9">
        <v>0.0599</v>
      </c>
      <c r="C23" s="19">
        <v>56</v>
      </c>
      <c r="G23" s="19" t="inlineStr">
        <is>
          <t xml:space="preserve">#2 'define qualify' – add service CTA (I-14)</t>
        </is>
      </c>
    </row>
    <row r="24">
      <c r="A24" s="19" t="inlineStr">
        <is>
          <t xml:space="preserve">/leadership/sales-executive-meaning/</t>
        </is>
      </c>
      <c r="B24" s="9">
        <v>0.036000000000000004</v>
      </c>
      <c r="C24" s="19">
        <v>62</v>
      </c>
      <c r="G24" s="19" t="inlineStr">
        <is>
          <t xml:space="preserve"/>
        </is>
      </c>
    </row>
    <row r="25">
      <c r="A25" s="19" t="inlineStr">
        <is>
          <t xml:space="preserve">/outsourcing/outsourced-appointment-setting/</t>
        </is>
      </c>
      <c r="B25" s="9">
        <v>0.026699999999999998</v>
      </c>
      <c r="C25" s="19">
        <v>27</v>
      </c>
      <c r="G25" s="19" t="inlineStr">
        <is>
          <t xml:space="preserve">Ranks on its own – re-angle, don't blindly merge</t>
        </is>
      </c>
    </row>
    <row r="26">
      <c r="A26" s="19" t="inlineStr">
        <is>
          <t xml:space="preserve">/tactics/generating-b2b-leads/</t>
        </is>
      </c>
      <c r="B26" s="9">
        <v>0.02</v>
      </c>
      <c r="C26" s="19">
        <v>61</v>
      </c>
      <c r="G26" s="19" t="inlineStr">
        <is>
          <t xml:space="preserve">Survivor of lead-gen tips merge</t>
        </is>
      </c>
    </row>
    <row r="27">
      <c r="A27" s="19" t="inlineStr">
        <is>
          <t xml:space="preserve">/outsourced-sdr-services/</t>
        </is>
      </c>
      <c r="B27" s="9">
        <v>0.0184</v>
      </c>
      <c r="C27" s="19">
        <v>60</v>
      </c>
      <c r="G27" s="19" t="inlineStr">
        <is>
          <t xml:space="preserve"/>
        </is>
      </c>
    </row>
    <row r="28">
      <c r="A28" s="19" t="inlineStr">
        <is>
          <t xml:space="preserve">/leadership/appointment-setting-job-description/</t>
        </is>
      </c>
      <c r="B28" s="9">
        <v>0.0172</v>
      </c>
      <c r="C28" s="19">
        <v>59</v>
      </c>
      <c r="G28" s="19" t="inlineStr">
        <is>
          <t xml:space="preserve">Hiring-manager traffic – add CTA (I-14)</t>
        </is>
      </c>
    </row>
    <row r="29">
      <c r="A29" s="19" t="inlineStr">
        <is>
          <t xml:space="preserve">/careers/</t>
        </is>
      </c>
      <c r="B29" s="9">
        <v>0.0127</v>
      </c>
      <c r="C29" s="19">
        <v>7</v>
      </c>
      <c r="G29" s="19" t="inlineStr">
        <is>
          <t xml:space="preserve"/>
        </is>
      </c>
    </row>
    <row r="30">
      <c r="A30" s="19" t="inlineStr">
        <is>
          <t xml:space="preserve">/tactics/targeted-lead-generation/</t>
        </is>
      </c>
      <c r="B30" s="9">
        <v>0.0121</v>
      </c>
      <c r="C30" s="19">
        <v>17</v>
      </c>
      <c r="G30" s="19" t="inlineStr">
        <is>
          <t xml:space="preserve"/>
        </is>
      </c>
    </row>
    <row r="31">
      <c r="A31" s="19" t="inlineStr">
        <is>
          <t xml:space="preserve">/leadership/lead-generation-job-description/</t>
        </is>
      </c>
      <c r="B31" s="9">
        <v>0.0121</v>
      </c>
      <c r="C31" s="19">
        <v>37</v>
      </c>
      <c r="G31" s="19" t="inlineStr">
        <is>
          <t xml:space="preserve"/>
        </is>
      </c>
    </row>
    <row r="32">
      <c r="A32" s="19" t="inlineStr">
        <is>
          <t xml:space="preserve">/tactics/financial-advisors-appointment-setting-services/</t>
        </is>
      </c>
      <c r="B32" s="9">
        <v>0.011699999999999999</v>
      </c>
      <c r="C32" s="19">
        <v>13</v>
      </c>
      <c r="G32" s="19" t="inlineStr">
        <is>
          <t xml:space="preserve"/>
        </is>
      </c>
    </row>
    <row r="33">
      <c r="A33" s="19" t="inlineStr">
        <is>
          <t xml:space="preserve">/leadership/business-development-and-sales-manager-job-description/</t>
        </is>
      </c>
      <c r="B33" s="9">
        <v>0.0073</v>
      </c>
      <c r="C33" s="19">
        <v>56</v>
      </c>
      <c r="G33" s="19" t="inlineStr">
        <is>
          <t xml:space="preserve"/>
        </is>
      </c>
    </row>
    <row r="34">
      <c r="A34" s="19" t="inlineStr">
        <is>
          <t xml:space="preserve">/tactics/value-proposition/</t>
        </is>
      </c>
      <c r="B34" s="9">
        <v>0.0063</v>
      </c>
      <c r="C34" s="19">
        <v>6</v>
      </c>
      <c r="G34" s="19" t="inlineStr">
        <is>
          <t xml:space="preserve"/>
        </is>
      </c>
    </row>
    <row r="35">
      <c r="A35" s="19" t="inlineStr">
        <is>
          <t xml:space="preserve">/tactics/saas-lead-generation-strategies/</t>
        </is>
      </c>
      <c r="B35" s="9">
        <v>0.0063</v>
      </c>
      <c r="C35" s="19">
        <v>29</v>
      </c>
      <c r="G35" s="19" t="inlineStr">
        <is>
          <t xml:space="preserve"/>
        </is>
      </c>
    </row>
    <row r="36">
      <c r="A36" s="19" t="inlineStr">
        <is>
          <t xml:space="preserve">/tactics/sales-competency-development/</t>
        </is>
      </c>
      <c r="B36" s="9">
        <v>0.0040999999999999995</v>
      </c>
      <c r="C36" s="19">
        <v>17</v>
      </c>
      <c r="G36" s="19" t="inlineStr">
        <is>
          <t xml:space="preserve"/>
        </is>
      </c>
    </row>
    <row r="37">
      <c r="A37" s="19" t="inlineStr">
        <is>
          <t xml:space="preserve">/tactics/account-based-marketing-strategies/</t>
        </is>
      </c>
      <c r="B37" s="9">
        <v>0.0038</v>
      </c>
      <c r="C37" s="19">
        <v>102</v>
      </c>
      <c r="G37" s="19" t="inlineStr">
        <is>
          <t xml:space="preserve"/>
        </is>
      </c>
    </row>
    <row r="38">
      <c r="A38" s="19" t="inlineStr">
        <is>
          <t xml:space="preserve">/leadership/sales-development-representative/</t>
        </is>
      </c>
      <c r="B38" s="9">
        <v>0.0034999999999999996</v>
      </c>
      <c r="C38" s="19">
        <v>25</v>
      </c>
      <c r="G38" s="19" t="inlineStr">
        <is>
          <t xml:space="preserve"/>
        </is>
      </c>
    </row>
    <row r="39">
      <c r="A39" s="12" t="inlineStr">
        <is>
          <t xml:space="preserve">Top 4 URLs combined</t>
        </is>
      </c>
      <c r="B39" s="13">
        <f>SUM(B19:B22)</f>
        <v>0.6886</v>
      </c>
    </row>
    <row r="41">
      <c r="A41" s="5" t="inlineStr">
        <is>
          <t xml:space="preserve">New rankings on 2026-09-30 (Position Changes export)</t>
        </is>
      </c>
    </row>
    <row r="42">
      <c r="A42" s="18" t="inlineStr">
        <is>
          <t xml:space="preserve">Keyword</t>
        </is>
      </c>
      <c r="B42" s="18" t="inlineStr">
        <is>
          <t xml:space="preserve">Position</t>
        </is>
      </c>
      <c r="C42" s="18" t="inlineStr">
        <is>
          <t xml:space="preserve">Volume</t>
        </is>
      </c>
      <c r="D42" s="18" t="inlineStr">
        <is>
          <t xml:space="preserve">KD</t>
        </is>
      </c>
      <c r="E42" s="18" t="inlineStr">
        <is>
          <t xml:space="preserve">Intent</t>
        </is>
      </c>
      <c r="F42" s="18" t="inlineStr">
        <is>
          <t xml:space="preserve">Traffic change</t>
        </is>
      </c>
      <c r="G42" s="18" t="inlineStr">
        <is>
          <t xml:space="preserve">URL</t>
        </is>
      </c>
    </row>
    <row r="43">
      <c r="A43" s="19" t="inlineStr">
        <is>
          <t xml:space="preserve">manager in business development</t>
        </is>
      </c>
      <c r="B43" s="19">
        <v>13</v>
      </c>
      <c r="C43" s="19">
        <v>3600</v>
      </c>
      <c r="D43" s="19">
        <v>31</v>
      </c>
      <c r="E43" s="19" t="inlineStr">
        <is>
          <t xml:space="preserve">informational</t>
        </is>
      </c>
      <c r="F43" s="19">
        <v>18</v>
      </c>
      <c r="G43" s="19" t="inlineStr">
        <is>
          <t xml:space="preserve">/leadership/business-development-and-sales-manager-job-description/</t>
        </is>
      </c>
    </row>
    <row r="44">
      <c r="A44" s="19" t="inlineStr">
        <is>
          <t xml:space="preserve">leads inbound</t>
        </is>
      </c>
      <c r="B44" s="19">
        <v>3</v>
      </c>
      <c r="C44" s="19">
        <v>140</v>
      </c>
      <c r="D44" s="19">
        <v>9</v>
      </c>
      <c r="E44" s="19" t="inlineStr">
        <is>
          <t xml:space="preserve">informational</t>
        </is>
      </c>
      <c r="F44" s="19">
        <v>4</v>
      </c>
      <c r="G44" s="19" t="inlineStr">
        <is>
          <t xml:space="preserve">/tactics/types-of-lead-generation/</t>
        </is>
      </c>
    </row>
    <row r="45">
      <c r="A45" s="19" t="inlineStr">
        <is>
          <t xml:space="preserve">appointment setting goals</t>
        </is>
      </c>
      <c r="B45" s="19">
        <v>8</v>
      </c>
      <c r="C45" s="19">
        <v>170</v>
      </c>
      <c r="D45" s="19">
        <v>8</v>
      </c>
      <c r="E45" s="19" t="inlineStr">
        <is>
          <t xml:space="preserve">informational</t>
        </is>
      </c>
      <c r="F45" s="19">
        <v>2</v>
      </c>
      <c r="G45" s="19" t="inlineStr">
        <is>
          <t xml:space="preserve">/tactics/appointment-setting-goals/</t>
        </is>
      </c>
    </row>
    <row r="46">
      <c r="A46" s="19" t="inlineStr">
        <is>
          <t xml:space="preserve">b2b lead generation pain points solutions</t>
        </is>
      </c>
      <c r="B46" s="19">
        <v>3</v>
      </c>
      <c r="C46" s="19">
        <v>40</v>
      </c>
      <c r="D46" s="19">
        <v>12</v>
      </c>
      <c r="E46" s="19" t="inlineStr">
        <is>
          <t xml:space="preserve">informational</t>
        </is>
      </c>
      <c r="F46" s="19">
        <v>2</v>
      </c>
      <c r="G46" s="19" t="inlineStr">
        <is>
          <t xml:space="preserve">/tactics/lead-generation-challenges/</t>
        </is>
      </c>
    </row>
    <row r="47">
      <c r="A47" s="19" t="inlineStr">
        <is>
          <t xml:space="preserve">how to follow up on clients</t>
        </is>
      </c>
      <c r="B47" s="19">
        <v>60</v>
      </c>
      <c r="C47" s="19">
        <v>40</v>
      </c>
      <c r="D47" s="19">
        <v>31</v>
      </c>
      <c r="E47" s="19" t="inlineStr">
        <is>
          <t xml:space="preserve">informational</t>
        </is>
      </c>
      <c r="F47" s="19">
        <v>0</v>
      </c>
      <c r="G47" s="19" t="inlineStr">
        <is>
          <t xml:space="preserve">/tactics/sales-follow-ups/</t>
        </is>
      </c>
    </row>
    <row r="48">
      <c r="A48" s="19" t="inlineStr">
        <is>
          <t xml:space="preserve">strategies to close more leads for business</t>
        </is>
      </c>
      <c r="B48" s="19">
        <v>67</v>
      </c>
      <c r="C48" s="19">
        <v>40</v>
      </c>
      <c r="D48" s="19">
        <v>12</v>
      </c>
      <c r="E48" s="19" t="inlineStr">
        <is>
          <t xml:space="preserve">informational</t>
        </is>
      </c>
      <c r="F48" s="19">
        <v>0</v>
      </c>
      <c r="G48" s="19" t="inlineStr">
        <is>
          <t xml:space="preserve">/tactics/sales-closing-techniques/</t>
        </is>
      </c>
    </row>
    <row r="49">
      <c r="A49" s="19" t="inlineStr">
        <is>
          <t xml:space="preserve">customizable phone script</t>
        </is>
      </c>
      <c r="B49" s="19">
        <v>55</v>
      </c>
      <c r="C49" s="19">
        <v>110</v>
      </c>
      <c r="D49" s="19">
        <v>4</v>
      </c>
      <c r="E49" s="19" t="inlineStr">
        <is>
          <t xml:space="preserve">informational</t>
        </is>
      </c>
      <c r="F49" s="19">
        <v>0</v>
      </c>
      <c r="G49" s="19" t="inlineStr">
        <is>
          <t xml:space="preserve">/tactics/cold-calling-scripts/</t>
        </is>
      </c>
    </row>
    <row r="50">
      <c r="A50" s="19" t="inlineStr">
        <is>
          <t xml:space="preserve">sdr trade</t>
        </is>
      </c>
      <c r="B50" s="19">
        <v>63</v>
      </c>
      <c r="C50" s="19">
        <v>40</v>
      </c>
      <c r="D50" s="19">
        <v>24</v>
      </c>
      <c r="E50" s="19" t="inlineStr">
        <is>
          <t xml:space="preserve">informational</t>
        </is>
      </c>
      <c r="F50" s="19">
        <v>0</v>
      </c>
      <c r="G50" s="19" t="inlineStr">
        <is>
          <t xml:space="preserve">/tactics/sdr-meaning-in-sales/</t>
        </is>
      </c>
    </row>
    <row r="51">
      <c r="A51" s="19" t="inlineStr">
        <is>
          <t xml:space="preserve">sdr ae</t>
        </is>
      </c>
      <c r="B51" s="19">
        <v>23</v>
      </c>
      <c r="C51" s="19">
        <v>70</v>
      </c>
      <c r="D51" s="19">
        <v>19</v>
      </c>
      <c r="E51" s="19" t="inlineStr">
        <is>
          <t xml:space="preserve">informational</t>
        </is>
      </c>
      <c r="F51" s="19">
        <v>0</v>
      </c>
      <c r="G51" s="19" t="inlineStr">
        <is>
          <t xml:space="preserve">/leadership/sdr-vs-ae/</t>
        </is>
      </c>
    </row>
    <row r="52">
      <c r="A52" s="19" t="inlineStr">
        <is>
          <t xml:space="preserve">cost to outsource it</t>
        </is>
      </c>
      <c r="B52" s="19">
        <v>33</v>
      </c>
      <c r="C52" s="19">
        <v>70</v>
      </c>
      <c r="D52" s="19">
        <v>26</v>
      </c>
      <c r="E52" s="19" t="inlineStr">
        <is>
          <t xml:space="preserve">informational</t>
        </is>
      </c>
      <c r="F52" s="19">
        <v>0</v>
      </c>
      <c r="G52" s="19" t="inlineStr">
        <is>
          <t xml:space="preserve">/outsourcing/sales-outsourcing-pricing/</t>
        </is>
      </c>
    </row>
    <row r="53">
      <c r="A53" s="19" t="inlineStr">
        <is>
          <t xml:space="preserve">how to become a sales development representative</t>
        </is>
      </c>
      <c r="B53" s="19">
        <v>48</v>
      </c>
      <c r="C53" s="19">
        <v>50</v>
      </c>
      <c r="D53" s="19">
        <v>28</v>
      </c>
      <c r="E53" s="19" t="inlineStr">
        <is>
          <t xml:space="preserve">informational</t>
        </is>
      </c>
      <c r="F53" s="19">
        <v>0</v>
      </c>
      <c r="G53" s="19" t="inlineStr">
        <is>
          <t xml:space="preserve">/leadership/sdr-training/</t>
        </is>
      </c>
    </row>
    <row r="54">
      <c r="A54" s="19" t="inlineStr">
        <is>
          <t xml:space="preserve">top outsourced sdr providers for b2b sales</t>
        </is>
      </c>
      <c r="B54" s="19">
        <v>23</v>
      </c>
      <c r="C54" s="19">
        <v>40</v>
      </c>
      <c r="D54" s="19">
        <v>24</v>
      </c>
      <c r="E54" s="19" t="inlineStr">
        <is>
          <t xml:space="preserve">commercial</t>
        </is>
      </c>
      <c r="F54" s="19">
        <v>0</v>
      </c>
      <c r="G54" s="19" t="inlineStr">
        <is>
          <t xml:space="preserve">/</t>
        </is>
      </c>
    </row>
    <row r="55">
      <c r="A55" s="19" t="inlineStr">
        <is>
          <t xml:space="preserve">top outsourced sdr providers for b2b sales</t>
        </is>
      </c>
      <c r="B55" s="19">
        <v>61</v>
      </c>
      <c r="C55" s="19">
        <v>40</v>
      </c>
      <c r="D55" s="19">
        <v>24</v>
      </c>
      <c r="E55" s="19" t="inlineStr">
        <is>
          <t xml:space="preserve">commercial</t>
        </is>
      </c>
      <c r="F55" s="19">
        <v>0</v>
      </c>
      <c r="G55" s="19" t="inlineStr">
        <is>
          <t xml:space="preserve">/outsourced-sdr-services/</t>
        </is>
      </c>
    </row>
    <row r="56">
      <c r="A56" s="19" t="inlineStr">
        <is>
          <t xml:space="preserve">icp meaning finance</t>
        </is>
      </c>
      <c r="B56" s="19">
        <v>74</v>
      </c>
      <c r="C56" s="19">
        <v>40</v>
      </c>
      <c r="D56" s="19">
        <v>23</v>
      </c>
      <c r="E56" s="19" t="inlineStr">
        <is>
          <t xml:space="preserve">informational</t>
        </is>
      </c>
      <c r="F56" s="19">
        <v>0</v>
      </c>
      <c r="G56" s="19" t="inlineStr">
        <is>
          <t xml:space="preserve">/tactics/icp-sales/</t>
        </is>
      </c>
    </row>
    <row r="57">
      <c r="A57" s="19" t="inlineStr">
        <is>
          <t xml:space="preserve">what is the impact of personalized outreach on lead conversion</t>
        </is>
      </c>
      <c r="B57" s="19">
        <v>17</v>
      </c>
      <c r="C57" s="19">
        <v>40</v>
      </c>
      <c r="D57" s="19">
        <v>18</v>
      </c>
      <c r="E57" s="19" t="inlineStr">
        <is>
          <t xml:space="preserve">informational</t>
        </is>
      </c>
      <c r="F57" s="19">
        <v>0</v>
      </c>
      <c r="G57" s="19" t="inlineStr">
        <is>
          <t xml:space="preserve">/tactics/personalized-sales-outreach/</t>
        </is>
      </c>
    </row>
    <row r="58">
      <c r="A58" s="19" t="inlineStr">
        <is>
          <t xml:space="preserve">social selling meaning</t>
        </is>
      </c>
      <c r="B58" s="19">
        <v>41</v>
      </c>
      <c r="C58" s="19">
        <v>50</v>
      </c>
      <c r="D58" s="19">
        <v>37</v>
      </c>
      <c r="E58" s="19" t="inlineStr">
        <is>
          <t xml:space="preserve">informational</t>
        </is>
      </c>
      <c r="F58" s="19">
        <v>0</v>
      </c>
      <c r="G58" s="19" t="inlineStr">
        <is>
          <t xml:space="preserve">/tactics/social-selling-vs-traditional-selling/</t>
        </is>
      </c>
    </row>
    <row r="59">
      <c r="A59" s="19" t="inlineStr">
        <is>
          <t xml:space="preserve">how to make cold calls</t>
        </is>
      </c>
      <c r="B59" s="19">
        <v>21</v>
      </c>
      <c r="C59" s="19">
        <v>170</v>
      </c>
      <c r="D59" s="19">
        <v>36</v>
      </c>
      <c r="E59" s="19" t="inlineStr">
        <is>
          <t xml:space="preserve">informational</t>
        </is>
      </c>
      <c r="F59" s="19">
        <v>0</v>
      </c>
      <c r="G59" s="19" t="inlineStr">
        <is>
          <t xml:space="preserve">/tactics/b2b-cold-calling/</t>
        </is>
      </c>
    </row>
    <row r="60">
      <c r="A60" s="19" t="inlineStr">
        <is>
          <t xml:space="preserve">appointment setting solutions</t>
        </is>
      </c>
      <c r="B60" s="19">
        <v>36</v>
      </c>
      <c r="C60" s="19">
        <v>70</v>
      </c>
      <c r="D60" s="19">
        <v>20</v>
      </c>
      <c r="E60" s="19" t="inlineStr">
        <is>
          <t xml:space="preserve">informational</t>
        </is>
      </c>
      <c r="F60" s="19">
        <v>0</v>
      </c>
      <c r="G60" s="19" t="inlineStr">
        <is>
          <t xml:space="preserve">/tactics/appointment-setting-funnel/</t>
        </is>
      </c>
    </row>
    <row r="61">
      <c r="A61" s="19" t="inlineStr">
        <is>
          <t xml:space="preserve">tech companies channel sales strategy challenges</t>
        </is>
      </c>
      <c r="B61" s="19">
        <v>61</v>
      </c>
      <c r="C61" s="19">
        <v>50</v>
      </c>
      <c r="D61" s="19">
        <v>12</v>
      </c>
      <c r="E61" s="19" t="inlineStr">
        <is>
          <t xml:space="preserve">informational</t>
        </is>
      </c>
      <c r="F61" s="19">
        <v>0</v>
      </c>
      <c r="G61" s="19" t="inlineStr">
        <is>
          <t xml:space="preserve">/tactics/channel-sales-development/</t>
        </is>
      </c>
    </row>
    <row r="62">
      <c r="A62" s="19" t="inlineStr">
        <is>
          <t xml:space="preserve">lead generation job profile</t>
        </is>
      </c>
      <c r="B62" s="19">
        <v>77</v>
      </c>
      <c r="C62" s="19">
        <v>90</v>
      </c>
      <c r="D62" s="19">
        <v>14</v>
      </c>
      <c r="E62" s="19" t="inlineStr">
        <is>
          <t xml:space="preserve">commercial</t>
        </is>
      </c>
      <c r="F62" s="19">
        <v>0</v>
      </c>
      <c r="G62" s="19" t="inlineStr">
        <is>
          <t xml:space="preserve">/leadership/lead-generation-specialist-salary/</t>
        </is>
      </c>
    </row>
    <row r="63">
      <c r="A63" s="19" t="inlineStr">
        <is>
          <t xml:space="preserve">b2b telesales companies</t>
        </is>
      </c>
      <c r="B63" s="19">
        <v>49</v>
      </c>
      <c r="C63" s="19">
        <v>110</v>
      </c>
      <c r="D63" s="19">
        <v>19</v>
      </c>
      <c r="E63" s="19" t="inlineStr">
        <is>
          <t xml:space="preserve">commercial, informational</t>
        </is>
      </c>
      <c r="F63" s="19">
        <v>0</v>
      </c>
      <c r="G63" s="19" t="inlineStr">
        <is>
          <t xml:space="preserve">/</t>
        </is>
      </c>
    </row>
    <row r="65">
      <c r="A65" s="5" t="inlineStr">
        <is>
          <t xml:space="preserve">Top organic competitors (keyword overlap)</t>
        </is>
      </c>
    </row>
    <row r="66">
      <c r="A66" s="18" t="inlineStr">
        <is>
          <t xml:space="preserve">Competitor</t>
        </is>
      </c>
      <c r="B66" s="18" t="inlineStr">
        <is>
          <t xml:space="preserve">Competition level</t>
        </is>
      </c>
      <c r="C66" s="18" t="inlineStr">
        <is>
          <t xml:space="preserve">Common keywords</t>
        </is>
      </c>
      <c r="D66" s="18" t="inlineStr">
        <is>
          <t xml:space="preserve">SE keywords</t>
        </is>
      </c>
      <c r="E66" s="18" t="inlineStr">
        <is>
          <t xml:space="preserve"/>
        </is>
      </c>
      <c r="F66" s="18" t="inlineStr">
        <is>
          <t xml:space="preserve"/>
        </is>
      </c>
      <c r="G66" s="18" t="inlineStr">
        <is>
          <t xml:space="preserve">Use</t>
        </is>
      </c>
    </row>
    <row r="67">
      <c r="A67" s="19" t="inlineStr">
        <is>
          <t xml:space="preserve">belkins.io</t>
        </is>
      </c>
      <c r="B67" s="9">
        <v>0.27</v>
      </c>
      <c r="C67" s="19">
        <v>301</v>
      </c>
      <c r="D67" s="19">
        <v>6000</v>
      </c>
      <c r="G67" s="19" t="inlineStr">
        <is>
          <t xml:space="preserve">Comparison page candidate (Content Plan)</t>
        </is>
      </c>
    </row>
    <row r="68">
      <c r="A68" s="19" t="inlineStr">
        <is>
          <t xml:space="preserve">superhumanprospecting.com</t>
        </is>
      </c>
      <c r="B68" s="9">
        <v>0.2</v>
      </c>
      <c r="C68" s="19">
        <v>172</v>
      </c>
      <c r="D68" s="19">
        <v>2600</v>
      </c>
      <c r="G68" s="19" t="inlineStr">
        <is>
          <t xml:space="preserve">Comparison page candidate (Content Plan)</t>
        </is>
      </c>
    </row>
    <row r="69">
      <c r="A69" s="19" t="inlineStr">
        <is>
          <t xml:space="preserve">salesfocusinc.com</t>
        </is>
      </c>
      <c r="B69" s="9">
        <v>0.19</v>
      </c>
      <c r="C69" s="19">
        <v>188</v>
      </c>
      <c r="D69" s="19">
        <v>4900</v>
      </c>
      <c r="G69" s="19" t="inlineStr">
        <is>
          <t xml:space="preserve">Comparison page candidate (Content Plan)</t>
        </is>
      </c>
    </row>
    <row r="70">
      <c r="A70" s="19" t="inlineStr">
        <is>
          <t xml:space="preserve">callboxinc.com</t>
        </is>
      </c>
      <c r="B70" s="9">
        <v>0.18</v>
      </c>
      <c r="C70" s="19">
        <v>318</v>
      </c>
      <c r="D70" s="19">
        <v>8900</v>
      </c>
      <c r="G70" s="19" t="inlineStr">
        <is>
          <t xml:space="preserve">Comparison page candidate (Content Plan)</t>
        </is>
      </c>
    </row>
    <row r="71">
      <c r="A71" s="19" t="inlineStr">
        <is>
          <t xml:space="preserve">salesbread.com</t>
        </is>
      </c>
      <c r="B71" s="9">
        <v>0.15</v>
      </c>
      <c r="C71" s="19">
        <v>200</v>
      </c>
      <c r="D71" s="19">
        <v>5200</v>
      </c>
      <c r="G71" s="19" t="inlineStr">
        <is>
          <t xml:space="preserve">Comparison page candidate (Content Plan)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50" customWidth="1"/>
    <col min="2" max="2" width="42" customWidth="1"/>
    <col min="3" max="3" width="50" customWidth="1"/>
    <col min="4" max="4" width="40" customWidth="1"/>
  </cols>
  <sheetData>
    <row r="1">
      <c r="A1" s="18" t="inlineStr">
        <is>
          <t xml:space="preserve">Check</t>
        </is>
      </c>
      <c r="B1" s="18" t="inlineStr">
        <is>
          <t xml:space="preserve">Why not verified</t>
        </is>
      </c>
      <c r="C1" s="18" t="inlineStr">
        <is>
          <t xml:space="preserve">Tool</t>
        </is>
      </c>
      <c r="D1" s="18" t="inlineStr">
        <is>
          <t xml:space="preserve">Result / Notes</t>
        </is>
      </c>
    </row>
    <row r="2">
      <c r="A2" s="19" t="inlineStr">
        <is>
          <t xml:space="preserve">Core Web Vitals (LCP, INP, CLS) field data</t>
        </is>
      </c>
      <c r="B2" s="19" t="inlineStr">
        <is>
          <t xml:space="preserve">Needs CrUX / real-user data</t>
        </is>
      </c>
      <c r="C2" s="19" t="inlineStr">
        <is>
          <t xml:space="preserve">PageSpeed Insights; GSC &gt; Core Web Vitals</t>
        </is>
      </c>
      <c r="D2" s="20" t="inlineStr">
        <is>
          <t xml:space="preserve"/>
        </is>
      </c>
    </row>
    <row r="3">
      <c r="A3" s="19" t="inlineStr">
        <is>
          <t xml:space="preserve">Index coverage; excluded URLs</t>
        </is>
      </c>
      <c r="B3" s="19" t="inlineStr">
        <is>
          <t xml:space="preserve">Needs Search Console access</t>
        </is>
      </c>
      <c r="C3" s="19" t="inlineStr">
        <is>
          <t xml:space="preserve">GSC &gt; Pages</t>
        </is>
      </c>
      <c r="D3" s="20" t="inlineStr">
        <is>
          <t xml:space="preserve"/>
        </is>
      </c>
    </row>
    <row r="4">
      <c r="A4" s="19" t="inlineStr">
        <is>
          <t xml:space="preserve">Cannibalization by query</t>
        </is>
      </c>
      <c r="B4" s="19" t="inlineStr">
        <is>
          <t xml:space="preserve">Needs Search Console access</t>
        </is>
      </c>
      <c r="C4" s="19" t="inlineStr">
        <is>
          <t xml:space="preserve">GSC &gt; Performance &gt; filter query &gt; Pages tab</t>
        </is>
      </c>
      <c r="D4" s="20" t="inlineStr">
        <is>
          <t xml:space="preserve"/>
        </is>
      </c>
    </row>
    <row r="5">
      <c r="A5" s="19" t="inlineStr">
        <is>
          <t xml:space="preserve">Exact rankings and search volume</t>
        </is>
      </c>
      <c r="B5" s="19" t="inlineStr">
        <is>
          <t xml:space="preserve">SERP checks were a point-in-time sample</t>
        </is>
      </c>
      <c r="C5" s="19" t="inlineStr">
        <is>
          <t xml:space="preserve">Semrush / Ahrefs position tracking</t>
        </is>
      </c>
      <c r="D5" s="20" t="inlineStr">
        <is>
          <t xml:space="preserve"/>
        </is>
      </c>
    </row>
    <row r="6">
      <c r="A6" s="19" t="inlineStr">
        <is>
          <t xml:space="preserve">Backlinks per merge candidate</t>
        </is>
      </c>
      <c r="B6" s="19" t="inlineStr">
        <is>
          <t xml:space="preserve">Semrush export covers top 5 pages only</t>
        </is>
      </c>
      <c r="C6" s="19" t="inlineStr">
        <is>
          <t xml:space="preserve">Semrush Backlinks &gt; Indexed Pages / Ahrefs / GSC &gt; Links</t>
        </is>
      </c>
      <c r="D6" s="20" t="inlineStr">
        <is>
          <t xml:space="preserve"/>
        </is>
      </c>
    </row>
    <row r="7">
      <c r="A7" s="19" t="inlineStr">
        <is>
          <t xml:space="preserve">www &gt; apex redirect (HIGH – Semrush shows www ranking, C-09)</t>
        </is>
      </c>
      <c r="B7" s="19" t="inlineStr">
        <is>
          <t xml:space="preserve">Audit proxy blocked www.salesroads.com</t>
        </is>
      </c>
      <c r="C7" s="19" t="inlineStr">
        <is>
          <t xml:space="preserve">curl -sI https://www.salesroads.com/; GSC URL Inspection</t>
        </is>
      </c>
      <c r="D7" s="20" t="inlineStr">
        <is>
          <t xml:space="preserve"/>
        </is>
      </c>
    </row>
    <row r="8">
      <c r="A8" s="19" t="inlineStr">
        <is>
          <t xml:space="preserve">What consortiumventure24.com/js/812387.js is</t>
        </is>
      </c>
      <c r="B8" s="19" t="inlineStr">
        <is>
          <t xml:space="preserve">Audit proxy blocked the domain</t>
        </is>
      </c>
      <c r="C8" s="19" t="inlineStr">
        <is>
          <t xml:space="preserve">Google Tag Assistant; ask marketing ops</t>
        </is>
      </c>
      <c r="D8" s="20" t="inlineStr">
        <is>
          <t xml:space="preserve"/>
        </is>
      </c>
    </row>
    <row r="9">
      <c r="A9" s="19" t="inlineStr">
        <is>
          <t xml:space="preserve">Rendered DOM / JS-dependent content</t>
        </is>
      </c>
      <c r="B9" s="19" t="inlineStr">
        <is>
          <t xml:space="preserve">Raw-HTML crawl only</t>
        </is>
      </c>
      <c r="C9" s="19" t="inlineStr">
        <is>
          <t xml:space="preserve">Screaming Frog (JS rendering); GSC URL Inspection</t>
        </is>
      </c>
      <c r="D9" s="20" t="inlineStr">
        <is>
          <t xml:space="preserve"/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44" customWidth="1"/>
    <col min="2" max="2" width="95" customWidth="1"/>
  </cols>
  <sheetData>
    <row r="1">
      <c r="A1" s="18" t="inlineStr">
        <is>
          <t xml:space="preserve">Source</t>
        </is>
      </c>
      <c r="B1" s="18" t="inlineStr">
        <is>
          <t xml:space="preserve">URL</t>
        </is>
      </c>
    </row>
    <row r="2">
      <c r="A2" s="19" t="inlineStr">
        <is>
          <t xml:space="preserve">SalesRoads homepage</t>
        </is>
      </c>
      <c r="B2" s="23" t="inlineStr">
        <is>
          <t xml:space="preserve">https://salesroads.com/</t>
        </is>
      </c>
    </row>
    <row r="3">
      <c r="A3" s="19" t="inlineStr">
        <is>
          <t xml:space="preserve">robots.txt</t>
        </is>
      </c>
      <c r="B3" s="23" t="inlineStr">
        <is>
          <t xml:space="preserve">https://salesroads.com/robots.txt</t>
        </is>
      </c>
    </row>
    <row r="4">
      <c r="A4" s="19" t="inlineStr">
        <is>
          <t xml:space="preserve">Sitemap index</t>
        </is>
      </c>
      <c r="B4" s="23" t="inlineStr">
        <is>
          <t xml:space="preserve">https://salesroads.com/sitemap_index.xml</t>
        </is>
      </c>
    </row>
    <row r="5">
      <c r="A5" s="19" t="inlineStr">
        <is>
          <t xml:space="preserve">Pricing</t>
        </is>
      </c>
      <c r="B5" s="23" t="inlineStr">
        <is>
          <t xml:space="preserve">https://salesroads.com/pricing/</t>
        </is>
      </c>
    </row>
    <row r="6">
      <c r="A6" s="19" t="inlineStr">
        <is>
          <t xml:space="preserve">Reviews</t>
        </is>
      </c>
      <c r="B6" s="23" t="inlineStr">
        <is>
          <t xml:space="preserve">https://salesroads.com/reviews/</t>
        </is>
      </c>
    </row>
    <row r="7">
      <c r="A7" s="19" t="inlineStr">
        <is>
          <t xml:space="preserve">Appointment setting services</t>
        </is>
      </c>
      <c r="B7" s="23" t="inlineStr">
        <is>
          <t xml:space="preserve">https://salesroads.com/appointment-setting-services/</t>
        </is>
      </c>
    </row>
    <row r="8">
      <c r="A8" s="19" t="inlineStr">
        <is>
          <t xml:space="preserve">VSA landing page</t>
        </is>
      </c>
      <c r="B8" s="23" t="inlineStr">
        <is>
          <t xml:space="preserve">https://salesroads.com/vsa/</t>
        </is>
      </c>
    </row>
    <row r="9">
      <c r="A9" s="19" t="inlineStr">
        <is>
          <t xml:space="preserve">WP users endpoint</t>
        </is>
      </c>
      <c r="B9" s="23" t="inlineStr">
        <is>
          <t xml:space="preserve">https://salesroads.com/wp-json/wp/v2/users</t>
        </is>
      </c>
    </row>
    <row r="10">
      <c r="A10" s="19" t="inlineStr">
        <is>
          <t xml:space="preserve">G2 – SalesRoads alternatives</t>
        </is>
      </c>
      <c r="B10" s="23" t="inlineStr">
        <is>
          <t xml:space="preserve">https://www.g2.com/products/salesroads/competitors/alternatives</t>
        </is>
      </c>
    </row>
    <row r="11">
      <c r="A11" s="19" t="inlineStr">
        <is>
          <t xml:space="preserve">G2 – SalesRoads vs memoryBlue</t>
        </is>
      </c>
      <c r="B11" s="23" t="inlineStr">
        <is>
          <t xml:space="preserve">https://www.g2.com/compare/salesroads-vs-memoryblue</t>
        </is>
      </c>
    </row>
    <row r="12">
      <c r="A12" s="19" t="inlineStr">
        <is>
          <t xml:space="preserve">Cleverly – SalesRoads review</t>
        </is>
      </c>
      <c r="B12" s="23" t="inlineStr">
        <is>
          <t xml:space="preserve">https://www.cleverly.co/blog/salesroads-reviews</t>
        </is>
      </c>
    </row>
    <row r="13">
      <c r="A13" s="19" t="inlineStr">
        <is>
          <t xml:space="preserve">SalesBread – SalesRoads review</t>
        </is>
      </c>
      <c r="B13" s="23" t="inlineStr">
        <is>
          <t xml:space="preserve">https://salesbread.com/salesroads/</t>
        </is>
      </c>
    </row>
    <row r="14">
      <c r="A14" s="19" t="inlineStr">
        <is>
          <t xml:space="preserve">Salesforge – SalesRoads review</t>
        </is>
      </c>
      <c r="B14" s="23" t="inlineStr">
        <is>
          <t xml:space="preserve">https://www.salesforge.ai/blog/salesroads-review</t>
        </is>
      </c>
    </row>
    <row r="15">
      <c r="A15" s="19" t="inlineStr">
        <is>
          <t xml:space="preserve">OutboundSalesPro – SalesRoads review</t>
        </is>
      </c>
      <c r="B15" s="23" t="inlineStr">
        <is>
          <t xml:space="preserve">https://outboundsalespro.com/salesroads-review/</t>
        </is>
      </c>
    </row>
    <row r="16">
      <c r="A16" s="19" t="inlineStr">
        <is>
          <t xml:space="preserve">Alleyoop – SalesRoads alternative</t>
        </is>
      </c>
      <c r="B16" s="23" t="inlineStr">
        <is>
          <t xml:space="preserve">https://alleyoop.io/salesroads-alternative/</t>
        </is>
      </c>
    </row>
    <row r="17">
      <c r="A17" s="19" t="inlineStr">
        <is>
          <t xml:space="preserve">RemoteAides – SalesRoads alternatives</t>
        </is>
      </c>
      <c r="B17" s="23" t="inlineStr">
        <is>
          <t xml:space="preserve">https://www.remoteaides.com/salesroads-reviews-and-best-cold-calling-agency-alternatives/</t>
        </is>
      </c>
    </row>
    <row r="18">
      <c r="A18" s="19" t="inlineStr">
        <is>
          <t xml:space="preserve">Sales Focus – appointment setting</t>
        </is>
      </c>
      <c r="B18" s="23" t="inlineStr">
        <is>
          <t xml:space="preserve">https://www.salesfocusinc.com/sales-outsourcing/appointment-setting/</t>
        </is>
      </c>
    </row>
    <row r="19">
      <c r="A19" s="19" t="inlineStr">
        <is>
          <t xml:space="preserve">UnboundB2B – best appointment setting companies</t>
        </is>
      </c>
      <c r="B19" s="23" t="inlineStr">
        <is>
          <t xml:space="preserve">https://www.unboundb2b.com/blog/best-b2b-appointment-setting-companies-in-the-usa/</t>
        </is>
      </c>
    </row>
    <row r="20">
      <c r="A20" s="19" t="inlineStr">
        <is>
          <t xml:space="preserve">Callbox – outsourced SDR</t>
        </is>
      </c>
      <c r="B20" s="23" t="inlineStr">
        <is>
          <t xml:space="preserve">https://www.callboxinc.com/outsourced-sdr-services/</t>
        </is>
      </c>
    </row>
    <row r="21">
      <c r="A21" s="19" t="inlineStr">
        <is>
          <t xml:space="preserve">memoryBlue – SDR services</t>
        </is>
      </c>
      <c r="B21" s="23" t="inlineStr">
        <is>
          <t xml:space="preserve">https://memoryblue.com/sdr-services/</t>
        </is>
      </c>
    </row>
    <row r="22">
      <c r="A22" s="19" t="inlineStr">
        <is>
          <t xml:space="preserve">Belkins – appointment setting cost</t>
        </is>
      </c>
      <c r="B22" s="23" t="inlineStr">
        <is>
          <t xml:space="preserve">https://belkins.io/blog/appointment-setting-costs-pricing-models</t>
        </is>
      </c>
    </row>
    <row r="23">
      <c r="A23" s="19" t="inlineStr">
        <is>
          <t xml:space="preserve">Leadium – appointment setting pricing</t>
        </is>
      </c>
      <c r="B23" s="23" t="inlineStr">
        <is>
          <t xml:space="preserve">https://www.leadium.com/blog/appointment-setting-services</t>
        </is>
      </c>
    </row>
    <row r="24">
      <c r="A24" s="19" t="inlineStr">
        <is>
          <t xml:space="preserve">Clutch – sales outsourcing rankings</t>
        </is>
      </c>
      <c r="B24" s="23" t="inlineStr">
        <is>
          <t xml:space="preserve">https://clutch.co/us/call-centers/sales-outsourcing</t>
        </is>
      </c>
    </row>
    <row r="25">
      <c r="A25" s="19" t="inlineStr">
        <is>
          <t xml:space="preserve">Shodan – consortiumventure24.com host</t>
        </is>
      </c>
      <c r="B25" s="23" t="inlineStr">
        <is>
          <t xml:space="preserve">https://www.shodan.io/host/51.11.20.152</t>
        </is>
      </c>
    </row>
    <row r="26">
      <c r="A26" s="19" t="inlineStr">
        <is>
          <t xml:space="preserve">Semrush exports (client-provided, 2026-10-01): Domain Overview, Organic Pages, Position Changes</t>
        </is>
      </c>
      <c r="B26" s="23" t="inlineStr">
        <is>
          <t xml:space="preserve">https://www.semrush.com/</t>
        </is>
      </c>
    </row>
  </sheetData>
  <autoFilter ref="A1:B2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2026-10-01T11:07:22Z</dcterms:created>
  <dcterms:modified xsi:type="dcterms:W3CDTF">2026-10-01T11:07:22Z</dcterms:modified>
</cp:coreProperties>
</file>